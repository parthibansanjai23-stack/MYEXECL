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ccb00cd48f2e822/Desktop/JDA/DAY8/"/>
    </mc:Choice>
  </mc:AlternateContent>
  <xr:revisionPtr revIDLastSave="310" documentId="8_{6D4C6A17-79E5-43DE-9B6E-F6CA2E45192B}" xr6:coauthVersionLast="47" xr6:coauthVersionMax="47" xr10:uidLastSave="{4AA92DE9-92C4-4CD1-B249-969297F17577}"/>
  <bookViews>
    <workbookView xWindow="-108" yWindow="-108" windowWidth="23256" windowHeight="12456" xr2:uid="{AE17A568-7336-4880-A9F2-296D1E7D412F}"/>
  </bookViews>
  <sheets>
    <sheet name="Sheet1" sheetId="1" r:id="rId1"/>
    <sheet name="Sheet2" sheetId="2" r:id="rId2"/>
  </sheets>
  <definedNames>
    <definedName name="_xlnm._FilterDatabase" localSheetId="0" hidden="1">Sheet1!$A$1:$I$20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" l="1"/>
  <c r="M9" i="1"/>
  <c r="M10" i="1"/>
  <c r="I11" i="1"/>
  <c r="I20" i="1"/>
  <c r="I7" i="1"/>
  <c r="I4" i="1"/>
  <c r="I13" i="1"/>
  <c r="I14" i="1"/>
  <c r="I2" i="1"/>
  <c r="I8" i="1"/>
  <c r="I5" i="1"/>
  <c r="I18" i="1"/>
  <c r="I3" i="1"/>
  <c r="I6" i="1"/>
  <c r="I15" i="1"/>
  <c r="I16" i="1"/>
  <c r="I10" i="1"/>
  <c r="I17" i="1"/>
  <c r="I9" i="1"/>
  <c r="I19" i="1"/>
  <c r="I12" i="1"/>
</calcChain>
</file>

<file path=xl/sharedStrings.xml><?xml version="1.0" encoding="utf-8"?>
<sst xmlns="http://schemas.openxmlformats.org/spreadsheetml/2006/main" count="69" uniqueCount="40">
  <si>
    <t>S.NO</t>
  </si>
  <si>
    <t>SNAME</t>
  </si>
  <si>
    <t>DOJ</t>
  </si>
  <si>
    <t>CITY</t>
  </si>
  <si>
    <t>AGE</t>
  </si>
  <si>
    <t>TOTAL FEES</t>
  </si>
  <si>
    <t>PAID FEES</t>
  </si>
  <si>
    <t>BALANCE FEES</t>
  </si>
  <si>
    <t>SANJAI S</t>
  </si>
  <si>
    <t>SAM A</t>
  </si>
  <si>
    <t>VIGNESH G</t>
  </si>
  <si>
    <t>NAKULAN K</t>
  </si>
  <si>
    <t>KARAN S</t>
  </si>
  <si>
    <t>SATHISH KUMAR D</t>
  </si>
  <si>
    <t>SATHISH S</t>
  </si>
  <si>
    <t>JEEVAN G</t>
  </si>
  <si>
    <t>NISHA M</t>
  </si>
  <si>
    <t>KARUNAKARAN S</t>
  </si>
  <si>
    <t>SURIYA S</t>
  </si>
  <si>
    <t>SANDHIYA</t>
  </si>
  <si>
    <t>KARUR</t>
  </si>
  <si>
    <t>MAYANOOR</t>
  </si>
  <si>
    <t>NAMAKAL</t>
  </si>
  <si>
    <t>KPARAMATHI</t>
  </si>
  <si>
    <t>COURSE</t>
  </si>
  <si>
    <t>C</t>
  </si>
  <si>
    <t>C++</t>
  </si>
  <si>
    <t>JAVA</t>
  </si>
  <si>
    <t>PYTHON</t>
  </si>
  <si>
    <t>DATA ANALYST</t>
  </si>
  <si>
    <t>KANNA A</t>
  </si>
  <si>
    <t>KERTHANA L</t>
  </si>
  <si>
    <t>SATHYA K</t>
  </si>
  <si>
    <t>RAJI P</t>
  </si>
  <si>
    <t>SNEHA S</t>
  </si>
  <si>
    <t>NIVETHA S</t>
  </si>
  <si>
    <t>SURYA R</t>
  </si>
  <si>
    <t>total joined nov</t>
  </si>
  <si>
    <t>total joined oct</t>
  </si>
  <si>
    <t>total joined 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</si>
</sst>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27FC-D289-41D2-9FD0-243F5FCC07B5}">
  <sheetPr filterMode="1"/>
  <dimension ref="A1:M23"/>
  <sheetViews>
    <sheetView tabSelected="1" workbookViewId="0">
      <selection activeCell="M8" sqref="M8"/>
    </sheetView>
  </sheetViews>
  <sheetFormatPr defaultRowHeight="14.4" x14ac:dyDescent="0.3"/>
  <cols>
    <col min="2" max="2" width="17.77734375" customWidth="1"/>
    <col min="3" max="3" width="10.33203125" bestFit="1" customWidth="1"/>
    <col min="4" max="4" width="11.77734375" customWidth="1"/>
    <col min="6" max="6" width="13.33203125" bestFit="1" customWidth="1"/>
    <col min="7" max="7" width="12.77734375" bestFit="1" customWidth="1"/>
    <col min="8" max="8" width="11.33203125" bestFit="1" customWidth="1"/>
    <col min="9" max="9" width="15.109375" bestFit="1" customWidth="1"/>
    <col min="12" max="12" width="13.88671875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24</v>
      </c>
      <c r="G1" t="s">
        <v>5</v>
      </c>
      <c r="H1" t="s">
        <v>6</v>
      </c>
      <c r="I1" t="s">
        <v>7</v>
      </c>
    </row>
    <row r="2" spans="1:13" x14ac:dyDescent="0.3">
      <c r="A2">
        <v>1008</v>
      </c>
      <c r="B2" t="s">
        <v>15</v>
      </c>
      <c r="C2" s="1">
        <v>45868</v>
      </c>
      <c r="D2" t="s">
        <v>20</v>
      </c>
      <c r="E2">
        <v>24</v>
      </c>
      <c r="F2" t="s">
        <v>25</v>
      </c>
      <c r="G2">
        <v>7500</v>
      </c>
      <c r="H2">
        <v>4500</v>
      </c>
      <c r="I2">
        <f t="shared" ref="I2:I20" si="0">G2-H2</f>
        <v>3000</v>
      </c>
    </row>
    <row r="3" spans="1:13" x14ac:dyDescent="0.3">
      <c r="A3">
        <v>1012</v>
      </c>
      <c r="B3" t="s">
        <v>30</v>
      </c>
      <c r="C3" s="1">
        <v>45881</v>
      </c>
      <c r="D3" t="s">
        <v>22</v>
      </c>
      <c r="E3">
        <v>25</v>
      </c>
      <c r="F3" t="s">
        <v>29</v>
      </c>
      <c r="G3">
        <v>12650</v>
      </c>
      <c r="H3">
        <v>4500</v>
      </c>
      <c r="I3">
        <f t="shared" si="0"/>
        <v>8150</v>
      </c>
    </row>
    <row r="4" spans="1:13" x14ac:dyDescent="0.3">
      <c r="A4">
        <v>1005</v>
      </c>
      <c r="B4" t="s">
        <v>12</v>
      </c>
      <c r="C4" s="1">
        <v>45843</v>
      </c>
      <c r="D4" t="s">
        <v>21</v>
      </c>
      <c r="E4">
        <v>30</v>
      </c>
      <c r="F4" t="s">
        <v>29</v>
      </c>
      <c r="G4">
        <v>45000</v>
      </c>
      <c r="H4">
        <v>36700</v>
      </c>
      <c r="I4">
        <f t="shared" si="0"/>
        <v>8300</v>
      </c>
    </row>
    <row r="5" spans="1:13" x14ac:dyDescent="0.3">
      <c r="A5">
        <v>1010</v>
      </c>
      <c r="B5" t="s">
        <v>17</v>
      </c>
      <c r="C5" s="1">
        <v>45874</v>
      </c>
      <c r="D5" t="s">
        <v>21</v>
      </c>
      <c r="E5">
        <v>37</v>
      </c>
      <c r="F5" t="s">
        <v>26</v>
      </c>
      <c r="G5">
        <v>10000</v>
      </c>
      <c r="H5">
        <v>7500</v>
      </c>
      <c r="I5">
        <f t="shared" si="0"/>
        <v>2500</v>
      </c>
    </row>
    <row r="6" spans="1:13" x14ac:dyDescent="0.3">
      <c r="A6">
        <v>1013</v>
      </c>
      <c r="B6" t="s">
        <v>31</v>
      </c>
      <c r="C6" s="1">
        <v>45953</v>
      </c>
      <c r="D6" t="s">
        <v>23</v>
      </c>
      <c r="E6">
        <v>27</v>
      </c>
      <c r="F6" t="s">
        <v>25</v>
      </c>
      <c r="G6">
        <v>13750</v>
      </c>
      <c r="H6">
        <v>13750</v>
      </c>
      <c r="I6">
        <f t="shared" si="0"/>
        <v>0</v>
      </c>
    </row>
    <row r="7" spans="1:13" x14ac:dyDescent="0.3">
      <c r="A7">
        <v>1004</v>
      </c>
      <c r="B7" t="s">
        <v>11</v>
      </c>
      <c r="C7" s="1">
        <v>45840</v>
      </c>
      <c r="D7" t="s">
        <v>20</v>
      </c>
      <c r="E7">
        <v>45</v>
      </c>
      <c r="F7" t="s">
        <v>28</v>
      </c>
      <c r="G7">
        <v>15000</v>
      </c>
      <c r="H7">
        <v>10000</v>
      </c>
      <c r="I7">
        <f t="shared" si="0"/>
        <v>5000</v>
      </c>
    </row>
    <row r="8" spans="1:13" x14ac:dyDescent="0.3">
      <c r="A8">
        <v>1009</v>
      </c>
      <c r="B8" t="s">
        <v>16</v>
      </c>
      <c r="C8" s="1">
        <v>45962</v>
      </c>
      <c r="D8" t="s">
        <v>20</v>
      </c>
      <c r="E8">
        <v>35</v>
      </c>
      <c r="F8" t="s">
        <v>27</v>
      </c>
      <c r="G8">
        <v>15555</v>
      </c>
      <c r="H8">
        <v>11200</v>
      </c>
      <c r="I8">
        <f t="shared" si="0"/>
        <v>4355</v>
      </c>
      <c r="L8" t="s">
        <v>37</v>
      </c>
      <c r="M8">
        <f>COUNTIF(C2:C20,"=octobar")</f>
        <v>0</v>
      </c>
    </row>
    <row r="9" spans="1:13" x14ac:dyDescent="0.3">
      <c r="A9">
        <v>1018</v>
      </c>
      <c r="B9" t="s">
        <v>35</v>
      </c>
      <c r="C9" s="1">
        <v>44854</v>
      </c>
      <c r="D9" t="s">
        <v>22</v>
      </c>
      <c r="E9">
        <v>26</v>
      </c>
      <c r="F9" t="s">
        <v>26</v>
      </c>
      <c r="G9">
        <v>12000</v>
      </c>
      <c r="H9">
        <v>11050</v>
      </c>
      <c r="I9">
        <f t="shared" si="0"/>
        <v>950</v>
      </c>
      <c r="L9" t="s">
        <v>38</v>
      </c>
      <c r="M9">
        <f>COUNTIF(C3:C21,"oct ")</f>
        <v>0</v>
      </c>
    </row>
    <row r="10" spans="1:13" x14ac:dyDescent="0.3">
      <c r="A10">
        <v>1016</v>
      </c>
      <c r="B10" t="s">
        <v>33</v>
      </c>
      <c r="C10" s="1">
        <v>45901</v>
      </c>
      <c r="D10" t="s">
        <v>23</v>
      </c>
      <c r="E10">
        <v>21</v>
      </c>
      <c r="F10" t="s">
        <v>29</v>
      </c>
      <c r="G10">
        <v>15555</v>
      </c>
      <c r="H10">
        <v>13500</v>
      </c>
      <c r="I10">
        <f t="shared" si="0"/>
        <v>2055</v>
      </c>
      <c r="L10" t="s">
        <v>39</v>
      </c>
      <c r="M10">
        <f>COUNTIF(C4:C22,"oct 2025")</f>
        <v>0</v>
      </c>
    </row>
    <row r="11" spans="1:13" x14ac:dyDescent="0.3">
      <c r="A11">
        <v>1002</v>
      </c>
      <c r="B11" t="s">
        <v>9</v>
      </c>
      <c r="C11" s="1">
        <v>46004</v>
      </c>
      <c r="D11" t="s">
        <v>21</v>
      </c>
      <c r="E11">
        <v>18</v>
      </c>
      <c r="F11" t="s">
        <v>26</v>
      </c>
      <c r="G11">
        <v>10000</v>
      </c>
      <c r="H11">
        <v>5000</v>
      </c>
      <c r="I11">
        <f t="shared" si="0"/>
        <v>5000</v>
      </c>
    </row>
    <row r="12" spans="1:13" x14ac:dyDescent="0.3">
      <c r="A12">
        <v>1001</v>
      </c>
      <c r="B12" t="s">
        <v>8</v>
      </c>
      <c r="C12" s="1">
        <v>45809</v>
      </c>
      <c r="D12" t="s">
        <v>20</v>
      </c>
      <c r="E12">
        <v>17</v>
      </c>
      <c r="F12" t="s">
        <v>25</v>
      </c>
      <c r="G12">
        <v>15555</v>
      </c>
      <c r="H12">
        <v>15555</v>
      </c>
      <c r="I12">
        <f t="shared" si="0"/>
        <v>0</v>
      </c>
    </row>
    <row r="13" spans="1:13" x14ac:dyDescent="0.3">
      <c r="A13">
        <v>1006</v>
      </c>
      <c r="B13" t="s">
        <v>13</v>
      </c>
      <c r="C13" s="1">
        <v>45853</v>
      </c>
      <c r="D13" t="s">
        <v>21</v>
      </c>
      <c r="E13">
        <v>25</v>
      </c>
      <c r="F13" t="s">
        <v>27</v>
      </c>
      <c r="G13">
        <v>5000</v>
      </c>
      <c r="H13">
        <v>5000</v>
      </c>
      <c r="I13">
        <f t="shared" si="0"/>
        <v>0</v>
      </c>
    </row>
    <row r="14" spans="1:13" x14ac:dyDescent="0.3">
      <c r="A14">
        <v>1007</v>
      </c>
      <c r="B14" t="s">
        <v>14</v>
      </c>
      <c r="C14" s="1">
        <v>45981</v>
      </c>
      <c r="D14" t="s">
        <v>23</v>
      </c>
      <c r="E14">
        <v>35</v>
      </c>
      <c r="F14" t="s">
        <v>26</v>
      </c>
      <c r="G14">
        <v>17000</v>
      </c>
      <c r="H14">
        <v>15000</v>
      </c>
      <c r="I14">
        <f t="shared" si="0"/>
        <v>2000</v>
      </c>
    </row>
    <row r="15" spans="1:13" hidden="1" x14ac:dyDescent="0.3">
      <c r="A15">
        <v>1014</v>
      </c>
      <c r="B15" t="s">
        <v>19</v>
      </c>
      <c r="C15" s="1">
        <v>45894</v>
      </c>
      <c r="D15" t="s">
        <v>20</v>
      </c>
      <c r="E15">
        <v>50</v>
      </c>
      <c r="F15" t="s">
        <v>26</v>
      </c>
      <c r="G15">
        <v>14950</v>
      </c>
      <c r="H15">
        <v>10000</v>
      </c>
      <c r="I15">
        <f t="shared" si="0"/>
        <v>4950</v>
      </c>
    </row>
    <row r="16" spans="1:13" x14ac:dyDescent="0.3">
      <c r="A16">
        <v>1015</v>
      </c>
      <c r="B16" t="s">
        <v>32</v>
      </c>
      <c r="C16" s="1">
        <v>45927</v>
      </c>
      <c r="D16" t="s">
        <v>20</v>
      </c>
      <c r="E16">
        <v>23</v>
      </c>
      <c r="F16" t="s">
        <v>27</v>
      </c>
      <c r="G16">
        <v>7500</v>
      </c>
      <c r="H16">
        <v>7200</v>
      </c>
      <c r="I16">
        <f t="shared" si="0"/>
        <v>300</v>
      </c>
    </row>
    <row r="17" spans="1:9" x14ac:dyDescent="0.3">
      <c r="A17">
        <v>1017</v>
      </c>
      <c r="B17" t="s">
        <v>34</v>
      </c>
      <c r="C17" s="1">
        <v>45917</v>
      </c>
      <c r="D17" t="s">
        <v>21</v>
      </c>
      <c r="E17">
        <v>32</v>
      </c>
      <c r="F17" t="s">
        <v>28</v>
      </c>
      <c r="G17">
        <v>10000</v>
      </c>
      <c r="H17">
        <v>9500</v>
      </c>
      <c r="I17">
        <f t="shared" si="0"/>
        <v>500</v>
      </c>
    </row>
    <row r="18" spans="1:9" x14ac:dyDescent="0.3">
      <c r="A18">
        <v>1011</v>
      </c>
      <c r="B18" t="s">
        <v>18</v>
      </c>
      <c r="C18" s="1">
        <v>46001</v>
      </c>
      <c r="D18" t="s">
        <v>22</v>
      </c>
      <c r="E18">
        <v>30</v>
      </c>
      <c r="F18" t="s">
        <v>27</v>
      </c>
      <c r="G18">
        <v>12000</v>
      </c>
      <c r="H18">
        <v>8500</v>
      </c>
      <c r="I18">
        <f t="shared" si="0"/>
        <v>3500</v>
      </c>
    </row>
    <row r="19" spans="1:9" x14ac:dyDescent="0.3">
      <c r="A19">
        <v>1019</v>
      </c>
      <c r="B19" t="s">
        <v>36</v>
      </c>
      <c r="C19" s="1">
        <v>45929</v>
      </c>
      <c r="D19" t="s">
        <v>21</v>
      </c>
      <c r="E19">
        <v>43</v>
      </c>
      <c r="F19" t="s">
        <v>25</v>
      </c>
      <c r="G19">
        <v>10000</v>
      </c>
      <c r="H19">
        <v>8750</v>
      </c>
      <c r="I19">
        <f t="shared" si="0"/>
        <v>1250</v>
      </c>
    </row>
    <row r="20" spans="1:9" x14ac:dyDescent="0.3">
      <c r="A20">
        <v>1003</v>
      </c>
      <c r="B20" t="s">
        <v>10</v>
      </c>
      <c r="C20" s="1">
        <v>45915</v>
      </c>
      <c r="D20" t="s">
        <v>22</v>
      </c>
      <c r="E20">
        <v>20</v>
      </c>
      <c r="F20" t="s">
        <v>27</v>
      </c>
      <c r="G20">
        <v>12000</v>
      </c>
      <c r="H20">
        <v>7500</v>
      </c>
      <c r="I20">
        <f t="shared" si="0"/>
        <v>4500</v>
      </c>
    </row>
    <row r="23" spans="1:9" x14ac:dyDescent="0.3">
      <c r="C23" s="2"/>
    </row>
  </sheetData>
  <autoFilter ref="A1:I20" xr:uid="{9C7327FC-D289-41D2-9FD0-243F5FCC07B5}">
    <filterColumn colId="4">
      <customFilters>
        <customFilter operator="lessThan" val="30"/>
        <customFilter operator="lessThan" val="50"/>
      </customFilters>
    </filterColumn>
    <sortState xmlns:xlrd2="http://schemas.microsoft.com/office/spreadsheetml/2017/richdata2" ref="A2:I20">
      <sortCondition ref="B1:B20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31BF3-DE39-4AE6-89B8-2F32D8D317A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Parthiban sanjai</dc:creator>
  <cp:lastModifiedBy>Parthiban sanjai</cp:lastModifiedBy>
  <dcterms:created xsi:type="dcterms:W3CDTF">2025-12-09T09:54:18Z</dcterms:created>
  <dcterms:modified xsi:type="dcterms:W3CDTF">2025-12-09T12:18:57Z</dcterms:modified>
</cp:coreProperties>
</file>