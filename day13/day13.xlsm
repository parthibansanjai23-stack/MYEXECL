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13/"/>
    </mc:Choice>
  </mc:AlternateContent>
  <xr:revisionPtr revIDLastSave="214" documentId="8_{31CEE7C7-306F-45A6-AE52-FF3677540C80}" xr6:coauthVersionLast="47" xr6:coauthVersionMax="47" xr10:uidLastSave="{D42BBE91-3A14-4B37-811B-AAA7F9E2CECE}"/>
  <bookViews>
    <workbookView xWindow="-108" yWindow="-108" windowWidth="23256" windowHeight="12456" activeTab="1" xr2:uid="{5E0D5E02-1CB6-4FB0-9A51-2E23A1DEC031}"/>
  </bookViews>
  <sheets>
    <sheet name="Sheet1" sheetId="2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3" l="1"/>
  <c r="C10" i="3"/>
  <c r="J8" i="3"/>
  <c r="B4" i="3"/>
  <c r="C7" i="3" s="1"/>
  <c r="E2" i="3"/>
  <c r="H7" i="2"/>
  <c r="K13" i="2"/>
  <c r="K15" i="2" s="1"/>
  <c r="K10" i="2"/>
  <c r="K11" i="2"/>
  <c r="E7" i="2"/>
  <c r="E6" i="2"/>
  <c r="B6" i="2" l="1" a="1"/>
  <c r="B6" i="2" s="1"/>
  <c r="F6" i="2"/>
  <c r="C7" i="2" s="1"/>
  <c r="F7" i="2" l="1"/>
  <c r="C8" i="2" s="1"/>
  <c r="E8" i="2" s="1"/>
  <c r="F8" i="2" l="1"/>
  <c r="C9" i="2" s="1"/>
  <c r="E9" i="2" s="1"/>
  <c r="F9" i="2" l="1"/>
  <c r="C10" i="2" s="1"/>
  <c r="E10" i="2" s="1"/>
  <c r="F10" i="2" l="1"/>
  <c r="C11" i="2" s="1"/>
  <c r="E11" i="2" s="1"/>
  <c r="F11" i="2" l="1"/>
  <c r="C12" i="2" s="1"/>
  <c r="E12" i="2" s="1"/>
  <c r="F12" i="2" l="1"/>
  <c r="C13" i="2" s="1"/>
  <c r="E13" i="2" l="1"/>
  <c r="F13" i="2" s="1"/>
  <c r="C14" i="2" s="1"/>
  <c r="E14" i="2" l="1"/>
  <c r="F14" i="2"/>
  <c r="C15" i="2" s="1"/>
  <c r="E15" i="2" s="1"/>
  <c r="F15" i="2"/>
  <c r="C16" i="2" s="1"/>
  <c r="E16" i="2" s="1"/>
  <c r="F16" i="2" l="1"/>
  <c r="C17" i="2" s="1"/>
  <c r="E17" i="2" s="1"/>
  <c r="F17" i="2" l="1"/>
  <c r="C18" i="2" s="1"/>
  <c r="E18" i="2" s="1"/>
  <c r="F18" i="2" l="1"/>
  <c r="C19" i="2" s="1"/>
  <c r="E19" i="2" s="1"/>
  <c r="F19" i="2" l="1"/>
  <c r="C20" i="2" s="1"/>
  <c r="E20" i="2" s="1"/>
  <c r="F20" i="2" l="1"/>
  <c r="C21" i="2" s="1"/>
  <c r="E21" i="2" s="1"/>
  <c r="F21" i="2" l="1"/>
  <c r="C22" i="2" s="1"/>
  <c r="E22" i="2" s="1"/>
  <c r="F22" i="2" l="1"/>
  <c r="C23" i="2" s="1"/>
  <c r="E23" i="2" s="1"/>
  <c r="F23" i="2" l="1"/>
  <c r="C24" i="2" s="1"/>
  <c r="E24" i="2" s="1"/>
  <c r="F24" i="2" l="1"/>
  <c r="C25" i="2" s="1"/>
  <c r="E25" i="2" s="1"/>
  <c r="F25" i="2" l="1"/>
  <c r="C26" i="2" s="1"/>
  <c r="E26" i="2" s="1"/>
  <c r="F26" i="2" l="1"/>
  <c r="C27" i="2" s="1"/>
  <c r="E27" i="2" s="1"/>
  <c r="F27" i="2" l="1"/>
  <c r="C28" i="2" s="1"/>
  <c r="E28" i="2" s="1"/>
  <c r="F28" i="2" l="1"/>
  <c r="C29" i="2" s="1"/>
  <c r="E29" i="2" s="1"/>
  <c r="F29" i="2" l="1"/>
  <c r="C30" i="2" s="1"/>
  <c r="E30" i="2" s="1"/>
  <c r="F30" i="2" l="1"/>
  <c r="C31" i="2" s="1"/>
  <c r="E31" i="2" s="1"/>
  <c r="F31" i="2" l="1"/>
  <c r="C32" i="2" s="1"/>
  <c r="E32" i="2" s="1"/>
  <c r="F32" i="2" l="1"/>
  <c r="C33" i="2" s="1"/>
  <c r="E33" i="2" s="1"/>
  <c r="F33" i="2" l="1"/>
  <c r="C34" i="2" s="1"/>
  <c r="E34" i="2" s="1"/>
  <c r="F34" i="2" l="1"/>
  <c r="C35" i="2" s="1"/>
  <c r="E35" i="2" s="1"/>
  <c r="F35" i="2" l="1"/>
  <c r="C36" i="2" s="1"/>
  <c r="E36" i="2" s="1"/>
  <c r="F36" i="2" l="1"/>
  <c r="C37" i="2" s="1"/>
  <c r="E37" i="2" s="1"/>
  <c r="F37" i="2" l="1"/>
  <c r="C38" i="2" s="1"/>
  <c r="E38" i="2" s="1"/>
  <c r="F38" i="2" l="1"/>
  <c r="C39" i="2" s="1"/>
  <c r="E39" i="2" s="1"/>
  <c r="F39" i="2" l="1"/>
  <c r="C40" i="2" s="1"/>
  <c r="E40" i="2" s="1"/>
  <c r="F40" i="2" l="1"/>
  <c r="C41" i="2" s="1"/>
  <c r="E41" i="2" s="1"/>
  <c r="F41" i="2" l="1"/>
  <c r="C42" i="2" s="1"/>
  <c r="E42" i="2" s="1"/>
  <c r="F42" i="2" l="1"/>
  <c r="C43" i="2" s="1"/>
  <c r="E43" i="2" s="1"/>
  <c r="F43" i="2" l="1"/>
  <c r="C44" i="2" s="1"/>
  <c r="E44" i="2" s="1"/>
  <c r="F44" i="2" l="1"/>
  <c r="C45" i="2" s="1"/>
  <c r="E45" i="2" s="1"/>
  <c r="F45" i="2" l="1"/>
  <c r="C46" i="2" s="1"/>
  <c r="E46" i="2" s="1"/>
  <c r="F46" i="2" l="1"/>
  <c r="C47" i="2" s="1"/>
  <c r="E47" i="2" s="1"/>
  <c r="F47" i="2" l="1"/>
  <c r="C48" i="2" s="1"/>
  <c r="E48" i="2" s="1"/>
  <c r="F48" i="2" l="1"/>
  <c r="C49" i="2" s="1"/>
  <c r="E49" i="2" s="1"/>
  <c r="F49" i="2" l="1"/>
  <c r="C50" i="2" s="1"/>
  <c r="E50" i="2" s="1"/>
  <c r="F50" i="2" l="1"/>
  <c r="C51" i="2" s="1"/>
  <c r="E51" i="2" s="1"/>
  <c r="F51" i="2" l="1"/>
  <c r="C52" i="2" s="1"/>
  <c r="E52" i="2" s="1"/>
  <c r="F52" i="2" l="1"/>
  <c r="C53" i="2" s="1"/>
  <c r="E53" i="2" s="1"/>
  <c r="F53" i="2" l="1"/>
  <c r="C54" i="2" s="1"/>
  <c r="E54" i="2" s="1"/>
  <c r="F54" i="2" l="1"/>
  <c r="C55" i="2" s="1"/>
  <c r="E55" i="2" s="1"/>
  <c r="F55" i="2" l="1"/>
  <c r="C56" i="2" s="1"/>
  <c r="E56" i="2" s="1"/>
  <c r="F56" i="2" l="1"/>
  <c r="C57" i="2" s="1"/>
  <c r="E57" i="2" s="1"/>
  <c r="F57" i="2" l="1"/>
  <c r="C58" i="2" s="1"/>
  <c r="E58" i="2" s="1"/>
  <c r="F58" i="2" l="1"/>
  <c r="C59" i="2" s="1"/>
  <c r="E59" i="2" s="1"/>
  <c r="F59" i="2" l="1"/>
  <c r="C60" i="2" s="1"/>
  <c r="E60" i="2" s="1"/>
  <c r="F60" i="2" l="1"/>
  <c r="C61" i="2" s="1"/>
  <c r="E61" i="2" s="1"/>
  <c r="F61" i="2" l="1"/>
  <c r="C62" i="2" s="1"/>
  <c r="E62" i="2" s="1"/>
  <c r="F62" i="2" l="1"/>
  <c r="C63" i="2" s="1"/>
  <c r="E63" i="2" s="1"/>
  <c r="F63" i="2" l="1"/>
  <c r="C64" i="2" s="1"/>
  <c r="E64" i="2" s="1"/>
  <c r="F64" i="2" l="1"/>
  <c r="C65" i="2" s="1"/>
  <c r="E65" i="2" s="1"/>
  <c r="F65" i="2" l="1"/>
  <c r="C66" i="2" s="1"/>
  <c r="E66" i="2" s="1"/>
  <c r="F66" i="2" l="1"/>
  <c r="C67" i="2" s="1"/>
  <c r="E67" i="2" s="1"/>
  <c r="F67" i="2" l="1"/>
  <c r="C68" i="2" s="1"/>
  <c r="E68" i="2" s="1"/>
  <c r="F68" i="2" l="1"/>
  <c r="C69" i="2" s="1"/>
  <c r="E69" i="2" s="1"/>
  <c r="F69" i="2" l="1"/>
  <c r="C70" i="2" s="1"/>
  <c r="E70" i="2" s="1"/>
  <c r="F70" i="2" l="1"/>
  <c r="C71" i="2" s="1"/>
  <c r="E71" i="2" s="1"/>
  <c r="F71" i="2" l="1"/>
  <c r="C72" i="2" s="1"/>
  <c r="E72" i="2" s="1"/>
  <c r="F72" i="2" l="1"/>
  <c r="C73" i="2" s="1"/>
  <c r="E73" i="2" s="1"/>
  <c r="F73" i="2" l="1"/>
  <c r="C74" i="2" s="1"/>
  <c r="E74" i="2" s="1"/>
  <c r="F74" i="2" l="1"/>
  <c r="C75" i="2" s="1"/>
  <c r="E75" i="2" s="1"/>
  <c r="F75" i="2" l="1"/>
  <c r="C76" i="2" s="1"/>
  <c r="E76" i="2" s="1"/>
  <c r="F76" i="2" l="1"/>
  <c r="C77" i="2" s="1"/>
  <c r="E77" i="2" s="1"/>
  <c r="F77" i="2" l="1"/>
  <c r="C78" i="2" s="1"/>
  <c r="E78" i="2" s="1"/>
  <c r="F78" i="2" l="1"/>
  <c r="C79" i="2" s="1"/>
  <c r="E79" i="2" s="1"/>
  <c r="F79" i="2" l="1"/>
  <c r="C80" i="2" s="1"/>
  <c r="E80" i="2" s="1"/>
  <c r="F80" i="2" l="1"/>
  <c r="C81" i="2" s="1"/>
  <c r="E81" i="2" s="1"/>
  <c r="F81" i="2" l="1"/>
  <c r="C82" i="2" s="1"/>
  <c r="E82" i="2" s="1"/>
  <c r="F82" i="2" l="1"/>
  <c r="C83" i="2" s="1"/>
  <c r="E83" i="2" s="1"/>
  <c r="F83" i="2" l="1"/>
  <c r="C84" i="2" s="1"/>
  <c r="E84" i="2" s="1"/>
  <c r="F84" i="2" l="1"/>
  <c r="C85" i="2" s="1"/>
  <c r="E85" i="2" s="1"/>
  <c r="F85" i="2" l="1"/>
  <c r="C86" i="2" s="1"/>
  <c r="E86" i="2" s="1"/>
  <c r="F86" i="2" l="1"/>
  <c r="C87" i="2" s="1"/>
  <c r="E87" i="2" s="1"/>
  <c r="F87" i="2" l="1"/>
  <c r="C88" i="2" s="1"/>
  <c r="E88" i="2" s="1"/>
  <c r="F88" i="2" l="1"/>
  <c r="C89" i="2" s="1"/>
  <c r="E89" i="2" s="1"/>
  <c r="K4" i="2" l="1"/>
  <c r="F8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<sst xmlns="http://schemas.openxmlformats.org/spreadsheetml/2006/main" count="28" uniqueCount="25">
  <si>
    <t>monthly paid</t>
  </si>
  <si>
    <t>interest rate</t>
  </si>
  <si>
    <t>month</t>
  </si>
  <si>
    <t>paid</t>
  </si>
  <si>
    <t>compund</t>
  </si>
  <si>
    <t>amt</t>
  </si>
  <si>
    <t>interest amt</t>
  </si>
  <si>
    <t>per bal</t>
  </si>
  <si>
    <t>s.no</t>
  </si>
  <si>
    <t>interset amt</t>
  </si>
  <si>
    <t>total duration no. of months</t>
  </si>
  <si>
    <t>monthly deposit</t>
  </si>
  <si>
    <t>TOTAL</t>
  </si>
  <si>
    <t xml:space="preserve">full </t>
  </si>
  <si>
    <t>years</t>
  </si>
  <si>
    <t>rate</t>
  </si>
  <si>
    <t>salary</t>
  </si>
  <si>
    <t>expense</t>
  </si>
  <si>
    <t>interst</t>
  </si>
  <si>
    <t>km</t>
  </si>
  <si>
    <t>min</t>
  </si>
  <si>
    <t>speed</t>
  </si>
  <si>
    <t>?</t>
  </si>
  <si>
    <t>kr2025</t>
  </si>
  <si>
    <t>m3330784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</si>
</sst>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EA6-5EE6-4A8A-B9E3-D4830BA3E6FD}">
  <dimension ref="A1:K89"/>
  <sheetViews>
    <sheetView workbookViewId="0">
      <selection activeCell="A23" sqref="A23"/>
    </sheetView>
  </sheetViews>
  <sheetFormatPr defaultRowHeight="14.4" x14ac:dyDescent="0.3"/>
  <cols>
    <col min="1" max="1" width="24.44140625" bestFit="1" customWidth="1"/>
    <col min="3" max="3" width="12" bestFit="1" customWidth="1"/>
    <col min="4" max="4" width="12" customWidth="1"/>
    <col min="5" max="6" width="12" bestFit="1" customWidth="1"/>
    <col min="7" max="7" width="11.5546875" bestFit="1" customWidth="1"/>
    <col min="8" max="8" width="12.88671875" bestFit="1" customWidth="1"/>
    <col min="9" max="9" width="10.6640625" bestFit="1" customWidth="1"/>
    <col min="10" max="10" width="10.88671875" bestFit="1" customWidth="1"/>
    <col min="11" max="11" width="33" bestFit="1" customWidth="1"/>
    <col min="13" max="13" width="19.21875" bestFit="1" customWidth="1"/>
    <col min="14" max="14" width="12" bestFit="1" customWidth="1"/>
  </cols>
  <sheetData>
    <row r="1" spans="1:11" x14ac:dyDescent="0.3">
      <c r="A1" t="s">
        <v>11</v>
      </c>
      <c r="B1">
        <v>1000</v>
      </c>
      <c r="C1" s="1"/>
      <c r="D1">
        <v>84000</v>
      </c>
      <c r="G1" t="s">
        <v>13</v>
      </c>
      <c r="H1">
        <v>750000</v>
      </c>
      <c r="J1" t="s">
        <v>12</v>
      </c>
      <c r="K1" s="1">
        <v>116440.87</v>
      </c>
    </row>
    <row r="2" spans="1:11" x14ac:dyDescent="0.3">
      <c r="A2" t="s">
        <v>1</v>
      </c>
      <c r="B2">
        <v>0.75</v>
      </c>
      <c r="C2">
        <v>9</v>
      </c>
      <c r="D2" s="1"/>
      <c r="G2" t="s">
        <v>14</v>
      </c>
      <c r="H2">
        <v>20</v>
      </c>
    </row>
    <row r="3" spans="1:11" x14ac:dyDescent="0.3">
      <c r="A3" t="s">
        <v>10</v>
      </c>
      <c r="B3">
        <v>84</v>
      </c>
      <c r="C3">
        <v>7</v>
      </c>
      <c r="G3" t="s">
        <v>15</v>
      </c>
      <c r="H3">
        <v>9</v>
      </c>
    </row>
    <row r="4" spans="1:11" x14ac:dyDescent="0.3">
      <c r="J4" t="s">
        <v>9</v>
      </c>
      <c r="K4" s="1">
        <f>SUM(E6:E89)</f>
        <v>32440.872877651604</v>
      </c>
    </row>
    <row r="5" spans="1:11" x14ac:dyDescent="0.3">
      <c r="B5" s="2" t="s">
        <v>8</v>
      </c>
      <c r="C5" s="2" t="s">
        <v>7</v>
      </c>
      <c r="D5" s="2" t="s">
        <v>0</v>
      </c>
      <c r="E5" s="2" t="s">
        <v>6</v>
      </c>
      <c r="F5" s="2" t="s">
        <v>5</v>
      </c>
      <c r="J5" t="s">
        <v>4</v>
      </c>
      <c r="K5" s="1"/>
    </row>
    <row r="6" spans="1:11" x14ac:dyDescent="0.3">
      <c r="B6" cm="1">
        <f t="array" ref="B6:B89">_xlfn.SEQUENCE(84)</f>
        <v>1</v>
      </c>
      <c r="C6" s="1">
        <v>1000</v>
      </c>
      <c r="D6" s="1">
        <v>0</v>
      </c>
      <c r="E6" s="1">
        <f>C6*$B$2/100</f>
        <v>7.5</v>
      </c>
      <c r="F6" s="1">
        <f>C6+E6</f>
        <v>1007.5</v>
      </c>
      <c r="K6" s="1">
        <v>116440.87</v>
      </c>
    </row>
    <row r="7" spans="1:11" x14ac:dyDescent="0.3">
      <c r="B7">
        <v>2</v>
      </c>
      <c r="C7" s="1">
        <f t="shared" ref="C7:C38" si="0">F6</f>
        <v>1007.5</v>
      </c>
      <c r="D7" s="1">
        <v>1000</v>
      </c>
      <c r="E7" s="1">
        <f t="shared" ref="E7:E70" si="1">C7*$B$2/100</f>
        <v>7.5562500000000004</v>
      </c>
      <c r="F7" s="1">
        <f t="shared" ref="F7:F38" si="2">C7+E7+D7</f>
        <v>2015.0562500000001</v>
      </c>
      <c r="H7" s="1">
        <f>H1*(1+H3/100)^H2</f>
        <v>4203308.0758337229</v>
      </c>
    </row>
    <row r="8" spans="1:11" x14ac:dyDescent="0.3">
      <c r="B8">
        <v>3</v>
      </c>
      <c r="C8" s="1">
        <f t="shared" si="0"/>
        <v>2015.0562500000001</v>
      </c>
      <c r="D8" s="1">
        <v>1000</v>
      </c>
      <c r="E8" s="1">
        <f t="shared" si="1"/>
        <v>15.112921875000001</v>
      </c>
      <c r="F8" s="1">
        <f t="shared" si="2"/>
        <v>3030.1691718749998</v>
      </c>
      <c r="K8" s="1"/>
    </row>
    <row r="9" spans="1:11" x14ac:dyDescent="0.3">
      <c r="B9">
        <v>4</v>
      </c>
      <c r="C9" s="1">
        <f t="shared" si="0"/>
        <v>3030.1691718749998</v>
      </c>
      <c r="D9" s="1">
        <v>1000</v>
      </c>
      <c r="E9" s="1">
        <f t="shared" si="1"/>
        <v>22.726268789062498</v>
      </c>
      <c r="F9" s="1">
        <f t="shared" si="2"/>
        <v>4052.8954406640623</v>
      </c>
      <c r="K9">
        <v>84000</v>
      </c>
    </row>
    <row r="10" spans="1:11" x14ac:dyDescent="0.3">
      <c r="B10">
        <v>5</v>
      </c>
      <c r="C10" s="1">
        <f t="shared" si="0"/>
        <v>4052.8954406640623</v>
      </c>
      <c r="D10" s="1">
        <v>1000</v>
      </c>
      <c r="E10" s="1">
        <f t="shared" si="1"/>
        <v>30.396715804980467</v>
      </c>
      <c r="F10" s="1">
        <f t="shared" si="2"/>
        <v>5083.2921564690423</v>
      </c>
      <c r="K10">
        <f>84000*(1+9/100)^7</f>
        <v>153555.28614860203</v>
      </c>
    </row>
    <row r="11" spans="1:11" x14ac:dyDescent="0.3">
      <c r="B11">
        <v>6</v>
      </c>
      <c r="C11" s="1">
        <f t="shared" si="0"/>
        <v>5083.2921564690423</v>
      </c>
      <c r="D11" s="1">
        <v>1000</v>
      </c>
      <c r="E11" s="1">
        <f t="shared" si="1"/>
        <v>38.124691173517817</v>
      </c>
      <c r="F11" s="1">
        <f t="shared" si="2"/>
        <v>6121.4168476425602</v>
      </c>
      <c r="K11">
        <f>K10-K9</f>
        <v>69555.286148602027</v>
      </c>
    </row>
    <row r="12" spans="1:11" x14ac:dyDescent="0.3">
      <c r="B12">
        <v>7</v>
      </c>
      <c r="C12" s="1">
        <f t="shared" si="0"/>
        <v>6121.4168476425602</v>
      </c>
      <c r="D12" s="1">
        <v>1000</v>
      </c>
      <c r="E12" s="1">
        <f t="shared" si="1"/>
        <v>45.910626357319195</v>
      </c>
      <c r="F12" s="1">
        <f t="shared" si="2"/>
        <v>7167.3274739998797</v>
      </c>
    </row>
    <row r="13" spans="1:11" x14ac:dyDescent="0.3">
      <c r="B13">
        <v>8</v>
      </c>
      <c r="C13" s="1">
        <f t="shared" si="0"/>
        <v>7167.3274739998797</v>
      </c>
      <c r="D13" s="1">
        <v>1000</v>
      </c>
      <c r="E13" s="1">
        <f t="shared" si="1"/>
        <v>53.754956054999091</v>
      </c>
      <c r="F13" s="1">
        <f t="shared" si="2"/>
        <v>8221.0824300548775</v>
      </c>
      <c r="K13" t="e">
        <f>pnr*(1+C2/100)^C3</f>
        <v>#NAME?</v>
      </c>
    </row>
    <row r="14" spans="1:11" x14ac:dyDescent="0.3">
      <c r="B14">
        <v>9</v>
      </c>
      <c r="C14" s="1">
        <f t="shared" si="0"/>
        <v>8221.0824300548775</v>
      </c>
      <c r="D14" s="1">
        <v>1000</v>
      </c>
      <c r="E14" s="1">
        <f t="shared" si="1"/>
        <v>61.658118225411584</v>
      </c>
      <c r="F14" s="1">
        <f t="shared" si="2"/>
        <v>9282.7405482802897</v>
      </c>
      <c r="K14">
        <v>84000</v>
      </c>
    </row>
    <row r="15" spans="1:11" x14ac:dyDescent="0.3">
      <c r="B15">
        <v>10</v>
      </c>
      <c r="C15" s="1">
        <f t="shared" si="0"/>
        <v>9282.7405482802897</v>
      </c>
      <c r="D15" s="1">
        <v>1000</v>
      </c>
      <c r="E15" s="1">
        <f t="shared" si="1"/>
        <v>69.62055411210217</v>
      </c>
      <c r="F15" s="1">
        <f t="shared" si="2"/>
        <v>10352.361102392391</v>
      </c>
      <c r="K15" t="e">
        <f>K13-K14</f>
        <v>#NAME?</v>
      </c>
    </row>
    <row r="16" spans="1:11" x14ac:dyDescent="0.3">
      <c r="B16">
        <v>11</v>
      </c>
      <c r="C16" s="1">
        <f t="shared" si="0"/>
        <v>10352.361102392391</v>
      </c>
      <c r="D16" s="1">
        <v>1000</v>
      </c>
      <c r="E16" s="1">
        <f t="shared" si="1"/>
        <v>77.642708267942936</v>
      </c>
      <c r="F16" s="1">
        <f t="shared" si="2"/>
        <v>11430.003810660335</v>
      </c>
    </row>
    <row r="17" spans="2:6" x14ac:dyDescent="0.3">
      <c r="B17">
        <v>12</v>
      </c>
      <c r="C17" s="1">
        <f t="shared" si="0"/>
        <v>11430.003810660335</v>
      </c>
      <c r="D17" s="1">
        <v>1000</v>
      </c>
      <c r="E17" s="1">
        <f t="shared" si="1"/>
        <v>85.725028579952522</v>
      </c>
      <c r="F17" s="1">
        <f t="shared" si="2"/>
        <v>12515.728839240288</v>
      </c>
    </row>
    <row r="18" spans="2:6" x14ac:dyDescent="0.3">
      <c r="B18">
        <v>13</v>
      </c>
      <c r="C18" s="1">
        <f t="shared" si="0"/>
        <v>12515.728839240288</v>
      </c>
      <c r="D18" s="1">
        <v>1000</v>
      </c>
      <c r="E18" s="1">
        <f t="shared" si="1"/>
        <v>93.867966294302164</v>
      </c>
      <c r="F18" s="1">
        <f t="shared" si="2"/>
        <v>13609.596805534589</v>
      </c>
    </row>
    <row r="19" spans="2:6" x14ac:dyDescent="0.3">
      <c r="B19">
        <v>14</v>
      </c>
      <c r="C19" s="1">
        <f t="shared" si="0"/>
        <v>13609.596805534589</v>
      </c>
      <c r="D19" s="1">
        <v>1000</v>
      </c>
      <c r="E19" s="1">
        <f t="shared" si="1"/>
        <v>102.07197604150943</v>
      </c>
      <c r="F19" s="1">
        <f t="shared" si="2"/>
        <v>14711.668781576098</v>
      </c>
    </row>
    <row r="20" spans="2:6" x14ac:dyDescent="0.3">
      <c r="B20">
        <v>15</v>
      </c>
      <c r="C20" s="1">
        <f t="shared" si="0"/>
        <v>14711.668781576098</v>
      </c>
      <c r="D20" s="1">
        <v>1000</v>
      </c>
      <c r="E20" s="1">
        <f t="shared" si="1"/>
        <v>110.33751586182073</v>
      </c>
      <c r="F20" s="1">
        <f t="shared" si="2"/>
        <v>15822.006297437918</v>
      </c>
    </row>
    <row r="21" spans="2:6" x14ac:dyDescent="0.3">
      <c r="B21">
        <v>16</v>
      </c>
      <c r="C21" s="1">
        <f t="shared" si="0"/>
        <v>15822.006297437918</v>
      </c>
      <c r="D21" s="1">
        <v>1000</v>
      </c>
      <c r="E21" s="1">
        <f t="shared" si="1"/>
        <v>118.66504723078438</v>
      </c>
      <c r="F21" s="1">
        <f t="shared" si="2"/>
        <v>16940.671344668703</v>
      </c>
    </row>
    <row r="22" spans="2:6" x14ac:dyDescent="0.3">
      <c r="B22">
        <v>17</v>
      </c>
      <c r="C22" s="1">
        <f t="shared" si="0"/>
        <v>16940.671344668703</v>
      </c>
      <c r="D22" s="1">
        <v>1000</v>
      </c>
      <c r="E22" s="1">
        <f t="shared" si="1"/>
        <v>127.05503508501526</v>
      </c>
      <c r="F22" s="1">
        <f t="shared" si="2"/>
        <v>18067.726379753716</v>
      </c>
    </row>
    <row r="23" spans="2:6" x14ac:dyDescent="0.3">
      <c r="B23">
        <v>18</v>
      </c>
      <c r="C23" s="1">
        <f t="shared" si="0"/>
        <v>18067.726379753716</v>
      </c>
      <c r="D23" s="1">
        <v>1000</v>
      </c>
      <c r="E23" s="1">
        <f t="shared" si="1"/>
        <v>135.50794784815287</v>
      </c>
      <c r="F23" s="1">
        <f t="shared" si="2"/>
        <v>19203.234327601869</v>
      </c>
    </row>
    <row r="24" spans="2:6" x14ac:dyDescent="0.3">
      <c r="B24">
        <v>19</v>
      </c>
      <c r="C24" s="1">
        <f t="shared" si="0"/>
        <v>19203.234327601869</v>
      </c>
      <c r="D24" s="1">
        <v>1000</v>
      </c>
      <c r="E24" s="1">
        <f t="shared" si="1"/>
        <v>144.02425745701402</v>
      </c>
      <c r="F24" s="1">
        <f t="shared" si="2"/>
        <v>20347.258585058884</v>
      </c>
    </row>
    <row r="25" spans="2:6" x14ac:dyDescent="0.3">
      <c r="B25">
        <v>20</v>
      </c>
      <c r="C25" s="1">
        <f t="shared" si="0"/>
        <v>20347.258585058884</v>
      </c>
      <c r="D25" s="1">
        <v>1000</v>
      </c>
      <c r="E25" s="1">
        <f t="shared" si="1"/>
        <v>152.60443938794162</v>
      </c>
      <c r="F25" s="1">
        <f t="shared" si="2"/>
        <v>21499.863024446826</v>
      </c>
    </row>
    <row r="26" spans="2:6" x14ac:dyDescent="0.3">
      <c r="B26">
        <v>21</v>
      </c>
      <c r="C26" s="1">
        <f t="shared" si="0"/>
        <v>21499.863024446826</v>
      </c>
      <c r="D26" s="1">
        <v>1000</v>
      </c>
      <c r="E26" s="1">
        <f t="shared" si="1"/>
        <v>161.24897268335121</v>
      </c>
      <c r="F26" s="1">
        <f t="shared" si="2"/>
        <v>22661.111997130178</v>
      </c>
    </row>
    <row r="27" spans="2:6" x14ac:dyDescent="0.3">
      <c r="B27">
        <v>22</v>
      </c>
      <c r="C27" s="1">
        <f t="shared" si="0"/>
        <v>22661.111997130178</v>
      </c>
      <c r="D27" s="1">
        <v>1000</v>
      </c>
      <c r="E27" s="1">
        <f t="shared" si="1"/>
        <v>169.95833997847632</v>
      </c>
      <c r="F27" s="1">
        <f t="shared" si="2"/>
        <v>23831.070337108653</v>
      </c>
    </row>
    <row r="28" spans="2:6" x14ac:dyDescent="0.3">
      <c r="B28">
        <v>23</v>
      </c>
      <c r="C28" s="1">
        <f t="shared" si="0"/>
        <v>23831.070337108653</v>
      </c>
      <c r="D28" s="1">
        <v>1000</v>
      </c>
      <c r="E28" s="1">
        <f t="shared" si="1"/>
        <v>178.73302752831489</v>
      </c>
      <c r="F28" s="1">
        <f t="shared" si="2"/>
        <v>25009.803364636969</v>
      </c>
    </row>
    <row r="29" spans="2:6" x14ac:dyDescent="0.3">
      <c r="B29">
        <v>24</v>
      </c>
      <c r="C29" s="1">
        <f t="shared" si="0"/>
        <v>25009.803364636969</v>
      </c>
      <c r="D29" s="1">
        <v>1000</v>
      </c>
      <c r="E29" s="1">
        <f t="shared" si="1"/>
        <v>187.57352523477726</v>
      </c>
      <c r="F29" s="1">
        <f t="shared" si="2"/>
        <v>26197.376889871746</v>
      </c>
    </row>
    <row r="30" spans="2:6" x14ac:dyDescent="0.3">
      <c r="B30">
        <v>25</v>
      </c>
      <c r="C30" s="1">
        <f t="shared" si="0"/>
        <v>26197.376889871746</v>
      </c>
      <c r="D30" s="1">
        <v>1000</v>
      </c>
      <c r="E30" s="1">
        <f t="shared" si="1"/>
        <v>196.48032667403808</v>
      </c>
      <c r="F30" s="1">
        <f t="shared" si="2"/>
        <v>27393.857216545784</v>
      </c>
    </row>
    <row r="31" spans="2:6" x14ac:dyDescent="0.3">
      <c r="B31">
        <v>26</v>
      </c>
      <c r="C31" s="1">
        <f t="shared" si="0"/>
        <v>27393.857216545784</v>
      </c>
      <c r="D31" s="1">
        <v>1000</v>
      </c>
      <c r="E31" s="1">
        <f t="shared" si="1"/>
        <v>205.45392912409338</v>
      </c>
      <c r="F31" s="1">
        <f t="shared" si="2"/>
        <v>28599.311145669879</v>
      </c>
    </row>
    <row r="32" spans="2:6" x14ac:dyDescent="0.3">
      <c r="B32">
        <v>27</v>
      </c>
      <c r="C32" s="1">
        <f t="shared" si="0"/>
        <v>28599.311145669879</v>
      </c>
      <c r="D32" s="1">
        <v>1000</v>
      </c>
      <c r="E32" s="1">
        <f t="shared" si="1"/>
        <v>214.49483359252409</v>
      </c>
      <c r="F32" s="1">
        <f t="shared" si="2"/>
        <v>29813.805979262404</v>
      </c>
    </row>
    <row r="33" spans="2:6" x14ac:dyDescent="0.3">
      <c r="B33">
        <v>28</v>
      </c>
      <c r="C33" s="1">
        <f t="shared" si="0"/>
        <v>29813.805979262404</v>
      </c>
      <c r="D33" s="1">
        <v>1000</v>
      </c>
      <c r="E33" s="1">
        <f t="shared" si="1"/>
        <v>223.60354484446805</v>
      </c>
      <c r="F33" s="1">
        <f t="shared" si="2"/>
        <v>31037.409524106872</v>
      </c>
    </row>
    <row r="34" spans="2:6" x14ac:dyDescent="0.3">
      <c r="B34">
        <v>29</v>
      </c>
      <c r="C34" s="1">
        <f t="shared" si="0"/>
        <v>31037.409524106872</v>
      </c>
      <c r="D34" s="1">
        <v>1000</v>
      </c>
      <c r="E34" s="1">
        <f t="shared" si="1"/>
        <v>232.78057143080153</v>
      </c>
      <c r="F34" s="1">
        <f t="shared" si="2"/>
        <v>32270.190095537673</v>
      </c>
    </row>
    <row r="35" spans="2:6" x14ac:dyDescent="0.3">
      <c r="B35">
        <v>30</v>
      </c>
      <c r="C35" s="1">
        <f t="shared" si="0"/>
        <v>32270.190095537673</v>
      </c>
      <c r="D35" s="1">
        <v>1000</v>
      </c>
      <c r="E35" s="1">
        <f t="shared" si="1"/>
        <v>242.02642571653254</v>
      </c>
      <c r="F35" s="1">
        <f t="shared" si="2"/>
        <v>33512.216521254202</v>
      </c>
    </row>
    <row r="36" spans="2:6" x14ac:dyDescent="0.3">
      <c r="B36">
        <v>31</v>
      </c>
      <c r="C36" s="1">
        <f t="shared" si="0"/>
        <v>33512.216521254202</v>
      </c>
      <c r="D36" s="1">
        <v>1000</v>
      </c>
      <c r="E36" s="1">
        <f t="shared" si="1"/>
        <v>251.34162390940651</v>
      </c>
      <c r="F36" s="1">
        <f t="shared" si="2"/>
        <v>34763.55814516361</v>
      </c>
    </row>
    <row r="37" spans="2:6" x14ac:dyDescent="0.3">
      <c r="B37">
        <v>32</v>
      </c>
      <c r="C37" s="1">
        <f t="shared" si="0"/>
        <v>34763.55814516361</v>
      </c>
      <c r="D37" s="1">
        <v>1000</v>
      </c>
      <c r="E37" s="1">
        <f t="shared" si="1"/>
        <v>260.72668608872709</v>
      </c>
      <c r="F37" s="1">
        <f t="shared" si="2"/>
        <v>36024.284831252335</v>
      </c>
    </row>
    <row r="38" spans="2:6" x14ac:dyDescent="0.3">
      <c r="B38">
        <v>33</v>
      </c>
      <c r="C38" s="1">
        <f t="shared" si="0"/>
        <v>36024.284831252335</v>
      </c>
      <c r="D38" s="1">
        <v>1000</v>
      </c>
      <c r="E38" s="1">
        <f t="shared" si="1"/>
        <v>270.18213623439254</v>
      </c>
      <c r="F38" s="1">
        <f t="shared" si="2"/>
        <v>37294.466967486725</v>
      </c>
    </row>
    <row r="39" spans="2:6" x14ac:dyDescent="0.3">
      <c r="B39">
        <v>34</v>
      </c>
      <c r="C39" s="1">
        <f t="shared" ref="C39:C70" si="3">F38</f>
        <v>37294.466967486725</v>
      </c>
      <c r="D39" s="1">
        <v>1000</v>
      </c>
      <c r="E39" s="1">
        <f t="shared" si="1"/>
        <v>279.70850225615044</v>
      </c>
      <c r="F39" s="1">
        <f t="shared" ref="F39:F70" si="4">C39+E39+D39</f>
        <v>38574.175469742877</v>
      </c>
    </row>
    <row r="40" spans="2:6" x14ac:dyDescent="0.3">
      <c r="B40">
        <v>35</v>
      </c>
      <c r="C40" s="1">
        <f t="shared" si="3"/>
        <v>38574.175469742877</v>
      </c>
      <c r="D40" s="1">
        <v>1000</v>
      </c>
      <c r="E40" s="1">
        <f t="shared" si="1"/>
        <v>289.30631602307153</v>
      </c>
      <c r="F40" s="1">
        <f t="shared" si="4"/>
        <v>39863.481785765951</v>
      </c>
    </row>
    <row r="41" spans="2:6" x14ac:dyDescent="0.3">
      <c r="B41">
        <v>36</v>
      </c>
      <c r="C41" s="1">
        <f t="shared" si="3"/>
        <v>39863.481785765951</v>
      </c>
      <c r="D41" s="1">
        <v>1000</v>
      </c>
      <c r="E41" s="1">
        <f t="shared" si="1"/>
        <v>298.97611339324465</v>
      </c>
      <c r="F41" s="1">
        <f t="shared" si="4"/>
        <v>41162.457899159199</v>
      </c>
    </row>
    <row r="42" spans="2:6" x14ac:dyDescent="0.3">
      <c r="B42">
        <v>37</v>
      </c>
      <c r="C42" s="1">
        <f t="shared" si="3"/>
        <v>41162.457899159199</v>
      </c>
      <c r="D42" s="1">
        <v>1000</v>
      </c>
      <c r="E42" s="1">
        <f t="shared" si="1"/>
        <v>308.71843424369399</v>
      </c>
      <c r="F42" s="1">
        <f t="shared" si="4"/>
        <v>42471.176333402895</v>
      </c>
    </row>
    <row r="43" spans="2:6" x14ac:dyDescent="0.3">
      <c r="B43">
        <v>38</v>
      </c>
      <c r="C43" s="1">
        <f t="shared" si="3"/>
        <v>42471.176333402895</v>
      </c>
      <c r="D43" s="1">
        <v>1000</v>
      </c>
      <c r="E43" s="1">
        <f t="shared" si="1"/>
        <v>318.53382250052169</v>
      </c>
      <c r="F43" s="1">
        <f t="shared" si="4"/>
        <v>43789.71015590342</v>
      </c>
    </row>
    <row r="44" spans="2:6" x14ac:dyDescent="0.3">
      <c r="B44">
        <v>39</v>
      </c>
      <c r="C44" s="1">
        <f t="shared" si="3"/>
        <v>43789.71015590342</v>
      </c>
      <c r="D44" s="1">
        <v>1000</v>
      </c>
      <c r="E44" s="1">
        <f t="shared" si="1"/>
        <v>328.42282616927565</v>
      </c>
      <c r="F44" s="1">
        <f t="shared" si="4"/>
        <v>45118.132982072697</v>
      </c>
    </row>
    <row r="45" spans="2:6" x14ac:dyDescent="0.3">
      <c r="B45">
        <v>40</v>
      </c>
      <c r="C45" s="1">
        <f t="shared" si="3"/>
        <v>45118.132982072697</v>
      </c>
      <c r="D45" s="1">
        <v>1000</v>
      </c>
      <c r="E45" s="1">
        <f t="shared" si="1"/>
        <v>338.38599736554517</v>
      </c>
      <c r="F45" s="1">
        <f t="shared" si="4"/>
        <v>46456.518979438239</v>
      </c>
    </row>
    <row r="46" spans="2:6" x14ac:dyDescent="0.3">
      <c r="B46">
        <v>41</v>
      </c>
      <c r="C46" s="1">
        <f t="shared" si="3"/>
        <v>46456.518979438239</v>
      </c>
      <c r="D46" s="1">
        <v>1000</v>
      </c>
      <c r="E46" s="1">
        <f t="shared" si="1"/>
        <v>348.42389234578678</v>
      </c>
      <c r="F46" s="1">
        <f t="shared" si="4"/>
        <v>47804.942871784027</v>
      </c>
    </row>
    <row r="47" spans="2:6" x14ac:dyDescent="0.3">
      <c r="B47">
        <v>42</v>
      </c>
      <c r="C47" s="1">
        <f t="shared" si="3"/>
        <v>47804.942871784027</v>
      </c>
      <c r="D47" s="1">
        <v>1000</v>
      </c>
      <c r="E47" s="1">
        <f t="shared" si="1"/>
        <v>358.53707153838019</v>
      </c>
      <c r="F47" s="1">
        <f t="shared" si="4"/>
        <v>49163.479943322411</v>
      </c>
    </row>
    <row r="48" spans="2:6" x14ac:dyDescent="0.3">
      <c r="B48">
        <v>43</v>
      </c>
      <c r="C48" s="1">
        <f t="shared" si="3"/>
        <v>49163.479943322411</v>
      </c>
      <c r="D48" s="1">
        <v>1000</v>
      </c>
      <c r="E48" s="1">
        <f t="shared" si="1"/>
        <v>368.72609957491807</v>
      </c>
      <c r="F48" s="1">
        <f t="shared" si="4"/>
        <v>50532.206042897327</v>
      </c>
    </row>
    <row r="49" spans="2:6" x14ac:dyDescent="0.3">
      <c r="B49">
        <v>44</v>
      </c>
      <c r="C49" s="1">
        <f t="shared" si="3"/>
        <v>50532.206042897327</v>
      </c>
      <c r="D49" s="1">
        <v>1000</v>
      </c>
      <c r="E49" s="1">
        <f t="shared" si="1"/>
        <v>378.99154532172992</v>
      </c>
      <c r="F49" s="1">
        <f t="shared" si="4"/>
        <v>51911.19758821906</v>
      </c>
    </row>
    <row r="50" spans="2:6" x14ac:dyDescent="0.3">
      <c r="B50">
        <v>45</v>
      </c>
      <c r="C50" s="1">
        <f t="shared" si="3"/>
        <v>51911.19758821906</v>
      </c>
      <c r="D50" s="1">
        <v>1000</v>
      </c>
      <c r="E50" s="1">
        <f t="shared" si="1"/>
        <v>389.33398191164292</v>
      </c>
      <c r="F50" s="1">
        <f t="shared" si="4"/>
        <v>53300.531570130704</v>
      </c>
    </row>
    <row r="51" spans="2:6" x14ac:dyDescent="0.3">
      <c r="B51">
        <v>46</v>
      </c>
      <c r="C51" s="1">
        <f t="shared" si="3"/>
        <v>53300.531570130704</v>
      </c>
      <c r="D51" s="1">
        <v>1000</v>
      </c>
      <c r="E51" s="1">
        <f t="shared" si="1"/>
        <v>399.75398677598031</v>
      </c>
      <c r="F51" s="1">
        <f t="shared" si="4"/>
        <v>54700.285556906681</v>
      </c>
    </row>
    <row r="52" spans="2:6" x14ac:dyDescent="0.3">
      <c r="B52">
        <v>47</v>
      </c>
      <c r="C52" s="1">
        <f t="shared" si="3"/>
        <v>54700.285556906681</v>
      </c>
      <c r="D52" s="1">
        <v>1000</v>
      </c>
      <c r="E52" s="1">
        <f t="shared" si="1"/>
        <v>410.25214167680008</v>
      </c>
      <c r="F52" s="1">
        <f t="shared" si="4"/>
        <v>56110.537698583481</v>
      </c>
    </row>
    <row r="53" spans="2:6" x14ac:dyDescent="0.3">
      <c r="B53">
        <v>48</v>
      </c>
      <c r="C53" s="1">
        <f t="shared" si="3"/>
        <v>56110.537698583481</v>
      </c>
      <c r="D53" s="1">
        <v>1000</v>
      </c>
      <c r="E53" s="1">
        <f t="shared" si="1"/>
        <v>420.82903273937615</v>
      </c>
      <c r="F53" s="1">
        <f t="shared" si="4"/>
        <v>57531.366731322858</v>
      </c>
    </row>
    <row r="54" spans="2:6" x14ac:dyDescent="0.3">
      <c r="B54">
        <v>49</v>
      </c>
      <c r="C54" s="1">
        <f t="shared" si="3"/>
        <v>57531.366731322858</v>
      </c>
      <c r="D54" s="1">
        <v>1000</v>
      </c>
      <c r="E54" s="1">
        <f t="shared" si="1"/>
        <v>431.48525048492144</v>
      </c>
      <c r="F54" s="1">
        <f t="shared" si="4"/>
        <v>58962.851981807777</v>
      </c>
    </row>
    <row r="55" spans="2:6" x14ac:dyDescent="0.3">
      <c r="B55">
        <v>50</v>
      </c>
      <c r="C55" s="1">
        <f t="shared" si="3"/>
        <v>58962.851981807777</v>
      </c>
      <c r="D55" s="1">
        <v>1000</v>
      </c>
      <c r="E55" s="1">
        <f t="shared" si="1"/>
        <v>442.22138986355827</v>
      </c>
      <c r="F55" s="1">
        <f t="shared" si="4"/>
        <v>60405.073371671337</v>
      </c>
    </row>
    <row r="56" spans="2:6" x14ac:dyDescent="0.3">
      <c r="B56">
        <v>51</v>
      </c>
      <c r="C56" s="1">
        <f t="shared" si="3"/>
        <v>60405.073371671337</v>
      </c>
      <c r="D56" s="1">
        <v>1000</v>
      </c>
      <c r="E56" s="1">
        <f t="shared" si="1"/>
        <v>453.03805028753499</v>
      </c>
      <c r="F56" s="1">
        <f t="shared" si="4"/>
        <v>61858.111421958871</v>
      </c>
    </row>
    <row r="57" spans="2:6" x14ac:dyDescent="0.3">
      <c r="B57">
        <v>52</v>
      </c>
      <c r="C57" s="1">
        <f t="shared" si="3"/>
        <v>61858.111421958871</v>
      </c>
      <c r="D57" s="1">
        <v>1000</v>
      </c>
      <c r="E57" s="1">
        <f t="shared" si="1"/>
        <v>463.93583566469152</v>
      </c>
      <c r="F57" s="1">
        <f t="shared" si="4"/>
        <v>63322.047257623562</v>
      </c>
    </row>
    <row r="58" spans="2:6" x14ac:dyDescent="0.3">
      <c r="B58">
        <v>53</v>
      </c>
      <c r="C58" s="1">
        <f t="shared" si="3"/>
        <v>63322.047257623562</v>
      </c>
      <c r="D58" s="1">
        <v>1000</v>
      </c>
      <c r="E58" s="1">
        <f t="shared" si="1"/>
        <v>474.91535443217668</v>
      </c>
      <c r="F58" s="1">
        <f t="shared" si="4"/>
        <v>64796.962612055737</v>
      </c>
    </row>
    <row r="59" spans="2:6" x14ac:dyDescent="0.3">
      <c r="B59">
        <v>54</v>
      </c>
      <c r="C59" s="1">
        <f t="shared" si="3"/>
        <v>64796.962612055737</v>
      </c>
      <c r="D59" s="1">
        <v>1000</v>
      </c>
      <c r="E59" s="1">
        <f t="shared" si="1"/>
        <v>485.97721959041803</v>
      </c>
      <c r="F59" s="1">
        <f t="shared" si="4"/>
        <v>66282.939831646159</v>
      </c>
    </row>
    <row r="60" spans="2:6" x14ac:dyDescent="0.3">
      <c r="B60">
        <v>55</v>
      </c>
      <c r="C60" s="1">
        <f t="shared" si="3"/>
        <v>66282.939831646159</v>
      </c>
      <c r="D60" s="1">
        <v>1000</v>
      </c>
      <c r="E60" s="1">
        <f t="shared" si="1"/>
        <v>497.12204873734618</v>
      </c>
      <c r="F60" s="1">
        <f t="shared" si="4"/>
        <v>67780.06188038351</v>
      </c>
    </row>
    <row r="61" spans="2:6" x14ac:dyDescent="0.3">
      <c r="B61">
        <v>56</v>
      </c>
      <c r="C61" s="1">
        <f t="shared" si="3"/>
        <v>67780.06188038351</v>
      </c>
      <c r="D61" s="1">
        <v>1000</v>
      </c>
      <c r="E61" s="1">
        <f t="shared" si="1"/>
        <v>508.35046410287629</v>
      </c>
      <c r="F61" s="1">
        <f t="shared" si="4"/>
        <v>69288.41234448638</v>
      </c>
    </row>
    <row r="62" spans="2:6" x14ac:dyDescent="0.3">
      <c r="B62">
        <v>57</v>
      </c>
      <c r="C62" s="1">
        <f t="shared" si="3"/>
        <v>69288.41234448638</v>
      </c>
      <c r="D62" s="1">
        <v>1000</v>
      </c>
      <c r="E62" s="1">
        <f t="shared" si="1"/>
        <v>519.66309258364777</v>
      </c>
      <c r="F62" s="1">
        <f t="shared" si="4"/>
        <v>70808.075437070031</v>
      </c>
    </row>
    <row r="63" spans="2:6" x14ac:dyDescent="0.3">
      <c r="B63">
        <v>58</v>
      </c>
      <c r="C63" s="1">
        <f t="shared" si="3"/>
        <v>70808.075437070031</v>
      </c>
      <c r="D63" s="1">
        <v>1000</v>
      </c>
      <c r="E63" s="1">
        <f t="shared" si="1"/>
        <v>531.06056577802519</v>
      </c>
      <c r="F63" s="1">
        <f t="shared" si="4"/>
        <v>72339.136002848056</v>
      </c>
    </row>
    <row r="64" spans="2:6" x14ac:dyDescent="0.3">
      <c r="B64">
        <v>59</v>
      </c>
      <c r="C64" s="1">
        <f t="shared" si="3"/>
        <v>72339.136002848056</v>
      </c>
      <c r="D64" s="1">
        <v>1000</v>
      </c>
      <c r="E64" s="1">
        <f t="shared" si="1"/>
        <v>542.54352002136045</v>
      </c>
      <c r="F64" s="1">
        <f t="shared" si="4"/>
        <v>73881.67952286941</v>
      </c>
    </row>
    <row r="65" spans="2:6" x14ac:dyDescent="0.3">
      <c r="B65">
        <v>60</v>
      </c>
      <c r="C65" s="1">
        <f t="shared" si="3"/>
        <v>73881.67952286941</v>
      </c>
      <c r="D65" s="1">
        <v>1000</v>
      </c>
      <c r="E65" s="1">
        <f t="shared" si="1"/>
        <v>554.11259642152061</v>
      </c>
      <c r="F65" s="1">
        <f t="shared" si="4"/>
        <v>75435.792119290927</v>
      </c>
    </row>
    <row r="66" spans="2:6" x14ac:dyDescent="0.3">
      <c r="B66">
        <v>61</v>
      </c>
      <c r="C66" s="1">
        <f t="shared" si="3"/>
        <v>75435.792119290927</v>
      </c>
      <c r="D66" s="1">
        <v>1000</v>
      </c>
      <c r="E66" s="1">
        <f t="shared" si="1"/>
        <v>565.76844089468204</v>
      </c>
      <c r="F66" s="1">
        <f t="shared" si="4"/>
        <v>77001.560560185608</v>
      </c>
    </row>
    <row r="67" spans="2:6" x14ac:dyDescent="0.3">
      <c r="B67">
        <v>62</v>
      </c>
      <c r="C67" s="1">
        <f t="shared" si="3"/>
        <v>77001.560560185608</v>
      </c>
      <c r="D67" s="1">
        <v>1000</v>
      </c>
      <c r="E67" s="1">
        <f t="shared" si="1"/>
        <v>577.51170420139204</v>
      </c>
      <c r="F67" s="1">
        <f t="shared" si="4"/>
        <v>78579.072264386996</v>
      </c>
    </row>
    <row r="68" spans="2:6" x14ac:dyDescent="0.3">
      <c r="B68">
        <v>63</v>
      </c>
      <c r="C68" s="1">
        <f t="shared" si="3"/>
        <v>78579.072264386996</v>
      </c>
      <c r="D68" s="1">
        <v>1000</v>
      </c>
      <c r="E68" s="1">
        <f t="shared" si="1"/>
        <v>589.34304198290249</v>
      </c>
      <c r="F68" s="1">
        <f t="shared" si="4"/>
        <v>80168.415306369905</v>
      </c>
    </row>
    <row r="69" spans="2:6" x14ac:dyDescent="0.3">
      <c r="B69">
        <v>64</v>
      </c>
      <c r="C69" s="1">
        <f t="shared" si="3"/>
        <v>80168.415306369905</v>
      </c>
      <c r="D69" s="1">
        <v>1000</v>
      </c>
      <c r="E69" s="1">
        <f t="shared" si="1"/>
        <v>601.26311479777428</v>
      </c>
      <c r="F69" s="1">
        <f t="shared" si="4"/>
        <v>81769.678421167686</v>
      </c>
    </row>
    <row r="70" spans="2:6" x14ac:dyDescent="0.3">
      <c r="B70">
        <v>65</v>
      </c>
      <c r="C70" s="1">
        <f t="shared" si="3"/>
        <v>81769.678421167686</v>
      </c>
      <c r="D70" s="1">
        <v>1000</v>
      </c>
      <c r="E70" s="1">
        <f t="shared" si="1"/>
        <v>613.27258815875769</v>
      </c>
      <c r="F70" s="1">
        <f t="shared" si="4"/>
        <v>83382.95100932644</v>
      </c>
    </row>
    <row r="71" spans="2:6" x14ac:dyDescent="0.3">
      <c r="B71">
        <v>66</v>
      </c>
      <c r="C71" s="1">
        <f t="shared" ref="C71:C89" si="5">F70</f>
        <v>83382.95100932644</v>
      </c>
      <c r="D71" s="1">
        <v>1000</v>
      </c>
      <c r="E71" s="1">
        <f t="shared" ref="E71:E89" si="6">C71*$B$2/100</f>
        <v>625.37213256994835</v>
      </c>
      <c r="F71" s="1">
        <f t="shared" ref="F71:F102" si="7">C71+E71+D71</f>
        <v>85008.323141896384</v>
      </c>
    </row>
    <row r="72" spans="2:6" x14ac:dyDescent="0.3">
      <c r="B72">
        <v>67</v>
      </c>
      <c r="C72" s="1">
        <f t="shared" si="5"/>
        <v>85008.323141896384</v>
      </c>
      <c r="D72" s="1">
        <v>1000</v>
      </c>
      <c r="E72" s="1">
        <f t="shared" si="6"/>
        <v>637.56242356422285</v>
      </c>
      <c r="F72" s="1">
        <f t="shared" si="7"/>
        <v>86645.885565460601</v>
      </c>
    </row>
    <row r="73" spans="2:6" x14ac:dyDescent="0.3">
      <c r="B73">
        <v>68</v>
      </c>
      <c r="C73" s="1">
        <f t="shared" si="5"/>
        <v>86645.885565460601</v>
      </c>
      <c r="D73" s="1">
        <v>1000</v>
      </c>
      <c r="E73" s="1">
        <f t="shared" si="6"/>
        <v>649.84414174095446</v>
      </c>
      <c r="F73" s="1">
        <f t="shared" si="7"/>
        <v>88295.72970720155</v>
      </c>
    </row>
    <row r="74" spans="2:6" x14ac:dyDescent="0.3">
      <c r="B74">
        <v>69</v>
      </c>
      <c r="C74" s="1">
        <f t="shared" si="5"/>
        <v>88295.72970720155</v>
      </c>
      <c r="D74" s="1">
        <v>1000</v>
      </c>
      <c r="E74" s="1">
        <f t="shared" si="6"/>
        <v>662.21797280401165</v>
      </c>
      <c r="F74" s="1">
        <f t="shared" si="7"/>
        <v>89957.947680005556</v>
      </c>
    </row>
    <row r="75" spans="2:6" x14ac:dyDescent="0.3">
      <c r="B75">
        <v>70</v>
      </c>
      <c r="C75" s="1">
        <f t="shared" si="5"/>
        <v>89957.947680005556</v>
      </c>
      <c r="D75" s="1">
        <v>1000</v>
      </c>
      <c r="E75" s="1">
        <f t="shared" si="6"/>
        <v>674.68460760004166</v>
      </c>
      <c r="F75" s="1">
        <f t="shared" si="7"/>
        <v>91632.632287605593</v>
      </c>
    </row>
    <row r="76" spans="2:6" x14ac:dyDescent="0.3">
      <c r="B76">
        <v>71</v>
      </c>
      <c r="C76" s="1">
        <f t="shared" si="5"/>
        <v>91632.632287605593</v>
      </c>
      <c r="D76" s="1">
        <v>1000</v>
      </c>
      <c r="E76" s="1">
        <f t="shared" si="6"/>
        <v>687.24474215704186</v>
      </c>
      <c r="F76" s="1">
        <f t="shared" si="7"/>
        <v>93319.877029762632</v>
      </c>
    </row>
    <row r="77" spans="2:6" x14ac:dyDescent="0.3">
      <c r="B77">
        <v>72</v>
      </c>
      <c r="C77" s="1">
        <f t="shared" si="5"/>
        <v>93319.877029762632</v>
      </c>
      <c r="D77" s="1">
        <v>1000</v>
      </c>
      <c r="E77" s="1">
        <f t="shared" si="6"/>
        <v>699.89907772321976</v>
      </c>
      <c r="F77" s="1">
        <f t="shared" si="7"/>
        <v>95019.776107485857</v>
      </c>
    </row>
    <row r="78" spans="2:6" x14ac:dyDescent="0.3">
      <c r="B78">
        <v>73</v>
      </c>
      <c r="C78" s="1">
        <f t="shared" si="5"/>
        <v>95019.776107485857</v>
      </c>
      <c r="D78" s="1">
        <v>1000</v>
      </c>
      <c r="E78" s="1">
        <f t="shared" si="6"/>
        <v>712.64832080614394</v>
      </c>
      <c r="F78" s="1">
        <f t="shared" si="7"/>
        <v>96732.424428291997</v>
      </c>
    </row>
    <row r="79" spans="2:6" x14ac:dyDescent="0.3">
      <c r="B79">
        <v>74</v>
      </c>
      <c r="C79" s="1">
        <f t="shared" si="5"/>
        <v>96732.424428291997</v>
      </c>
      <c r="D79" s="1">
        <v>1000</v>
      </c>
      <c r="E79" s="1">
        <f t="shared" si="6"/>
        <v>725.49318321219005</v>
      </c>
      <c r="F79" s="1">
        <f t="shared" si="7"/>
        <v>98457.917611504192</v>
      </c>
    </row>
    <row r="80" spans="2:6" x14ac:dyDescent="0.3">
      <c r="B80">
        <v>75</v>
      </c>
      <c r="C80" s="1">
        <f t="shared" si="5"/>
        <v>98457.917611504192</v>
      </c>
      <c r="D80" s="1">
        <v>1000</v>
      </c>
      <c r="E80" s="1">
        <f t="shared" si="6"/>
        <v>738.4343820862814</v>
      </c>
      <c r="F80" s="1">
        <f t="shared" si="7"/>
        <v>100196.35199359048</v>
      </c>
    </row>
    <row r="81" spans="2:8" x14ac:dyDescent="0.3">
      <c r="B81">
        <v>76</v>
      </c>
      <c r="C81" s="1">
        <f t="shared" si="5"/>
        <v>100196.35199359048</v>
      </c>
      <c r="D81" s="1">
        <v>1000</v>
      </c>
      <c r="E81" s="1">
        <f t="shared" si="6"/>
        <v>751.47263995192861</v>
      </c>
      <c r="F81" s="1">
        <f t="shared" si="7"/>
        <v>101947.8246335424</v>
      </c>
    </row>
    <row r="82" spans="2:8" x14ac:dyDescent="0.3">
      <c r="B82">
        <v>77</v>
      </c>
      <c r="C82" s="1">
        <f t="shared" si="5"/>
        <v>101947.8246335424</v>
      </c>
      <c r="D82" s="1">
        <v>1000</v>
      </c>
      <c r="E82" s="1">
        <f t="shared" si="6"/>
        <v>764.60868475156803</v>
      </c>
      <c r="F82" s="1">
        <f t="shared" si="7"/>
        <v>103712.43331829397</v>
      </c>
    </row>
    <row r="83" spans="2:8" x14ac:dyDescent="0.3">
      <c r="B83">
        <v>78</v>
      </c>
      <c r="C83" s="1">
        <f t="shared" si="5"/>
        <v>103712.43331829397</v>
      </c>
      <c r="D83" s="1">
        <v>1000</v>
      </c>
      <c r="E83" s="1">
        <f t="shared" si="6"/>
        <v>777.84324988720471</v>
      </c>
      <c r="F83" s="1">
        <f t="shared" si="7"/>
        <v>105490.27656818117</v>
      </c>
    </row>
    <row r="84" spans="2:8" x14ac:dyDescent="0.3">
      <c r="B84">
        <v>79</v>
      </c>
      <c r="C84" s="1">
        <f t="shared" si="5"/>
        <v>105490.27656818117</v>
      </c>
      <c r="D84" s="1">
        <v>1000</v>
      </c>
      <c r="E84" s="1">
        <f t="shared" si="6"/>
        <v>791.17707426135883</v>
      </c>
      <c r="F84" s="1">
        <f t="shared" si="7"/>
        <v>107281.45364244253</v>
      </c>
    </row>
    <row r="85" spans="2:8" x14ac:dyDescent="0.3">
      <c r="B85">
        <v>80</v>
      </c>
      <c r="C85" s="1">
        <f t="shared" si="5"/>
        <v>107281.45364244253</v>
      </c>
      <c r="D85" s="1">
        <v>1000</v>
      </c>
      <c r="E85" s="1">
        <f t="shared" si="6"/>
        <v>804.61090231831895</v>
      </c>
      <c r="F85" s="1">
        <f t="shared" si="7"/>
        <v>109086.06454476085</v>
      </c>
    </row>
    <row r="86" spans="2:8" x14ac:dyDescent="0.3">
      <c r="B86">
        <v>81</v>
      </c>
      <c r="C86" s="1">
        <f t="shared" si="5"/>
        <v>109086.06454476085</v>
      </c>
      <c r="D86" s="1">
        <v>1000</v>
      </c>
      <c r="E86" s="1">
        <f t="shared" si="6"/>
        <v>818.14548408570636</v>
      </c>
      <c r="F86" s="1">
        <f t="shared" si="7"/>
        <v>110904.21002884656</v>
      </c>
    </row>
    <row r="87" spans="2:8" x14ac:dyDescent="0.3">
      <c r="B87">
        <v>82</v>
      </c>
      <c r="C87" s="1">
        <f t="shared" si="5"/>
        <v>110904.21002884656</v>
      </c>
      <c r="D87" s="1">
        <v>1000</v>
      </c>
      <c r="E87" s="1">
        <f t="shared" si="6"/>
        <v>831.78157521634921</v>
      </c>
      <c r="F87" s="1">
        <f t="shared" si="7"/>
        <v>112735.9916040629</v>
      </c>
    </row>
    <row r="88" spans="2:8" x14ac:dyDescent="0.3">
      <c r="B88">
        <v>83</v>
      </c>
      <c r="C88" s="1">
        <f t="shared" si="5"/>
        <v>112735.9916040629</v>
      </c>
      <c r="D88" s="1">
        <v>1000</v>
      </c>
      <c r="E88" s="1">
        <f t="shared" si="6"/>
        <v>845.51993703047174</v>
      </c>
      <c r="F88" s="1">
        <f t="shared" si="7"/>
        <v>114581.51154109338</v>
      </c>
    </row>
    <row r="89" spans="2:8" x14ac:dyDescent="0.3">
      <c r="B89">
        <v>84</v>
      </c>
      <c r="C89" s="1">
        <f t="shared" si="5"/>
        <v>114581.51154109338</v>
      </c>
      <c r="D89" s="1">
        <v>1000</v>
      </c>
      <c r="E89" s="1">
        <f t="shared" si="6"/>
        <v>859.36133655820038</v>
      </c>
      <c r="F89" s="1">
        <f t="shared" si="7"/>
        <v>116440.87287765158</v>
      </c>
      <c r="H89">
        <v>116440.87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C4E2-9B9D-401B-AE94-7F0F0B85FAC5}">
  <dimension ref="A2:Q11"/>
  <sheetViews>
    <sheetView tabSelected="1" workbookViewId="0">
      <selection activeCell="O7" sqref="O7"/>
    </sheetView>
  </sheetViews>
  <sheetFormatPr defaultRowHeight="14.4" x14ac:dyDescent="0.3"/>
  <cols>
    <col min="3" max="3" width="7" bestFit="1" customWidth="1"/>
  </cols>
  <sheetData>
    <row r="2" spans="1:17" x14ac:dyDescent="0.3">
      <c r="A2" t="s">
        <v>16</v>
      </c>
      <c r="B2">
        <v>20000</v>
      </c>
      <c r="C2" t="s">
        <v>2</v>
      </c>
      <c r="D2">
        <v>60</v>
      </c>
      <c r="E2">
        <f>D2/12</f>
        <v>5</v>
      </c>
      <c r="G2">
        <v>27</v>
      </c>
    </row>
    <row r="3" spans="1:17" x14ac:dyDescent="0.3">
      <c r="A3" t="s">
        <v>17</v>
      </c>
      <c r="B3">
        <v>13000</v>
      </c>
      <c r="C3" t="s">
        <v>15</v>
      </c>
      <c r="D3">
        <v>9</v>
      </c>
      <c r="G3">
        <v>45</v>
      </c>
    </row>
    <row r="4" spans="1:17" x14ac:dyDescent="0.3">
      <c r="B4">
        <f>(B2-B3)*D2</f>
        <v>420000</v>
      </c>
    </row>
    <row r="6" spans="1:17" x14ac:dyDescent="0.3">
      <c r="B6" t="s">
        <v>2</v>
      </c>
      <c r="C6" t="s">
        <v>3</v>
      </c>
      <c r="D6" t="s">
        <v>18</v>
      </c>
      <c r="E6" t="s">
        <v>5</v>
      </c>
    </row>
    <row r="7" spans="1:17" x14ac:dyDescent="0.3">
      <c r="C7">
        <f>B4</f>
        <v>420000</v>
      </c>
      <c r="P7" t="s">
        <v>23</v>
      </c>
      <c r="Q7" t="s">
        <v>24</v>
      </c>
    </row>
    <row r="8" spans="1:17" x14ac:dyDescent="0.3">
      <c r="H8" t="s">
        <v>19</v>
      </c>
      <c r="I8">
        <v>27</v>
      </c>
      <c r="J8">
        <f>I8*1000</f>
        <v>27000</v>
      </c>
      <c r="K8">
        <v>10</v>
      </c>
    </row>
    <row r="9" spans="1:17" x14ac:dyDescent="0.3">
      <c r="H9" t="s">
        <v>20</v>
      </c>
      <c r="I9">
        <v>45</v>
      </c>
      <c r="J9">
        <v>45</v>
      </c>
      <c r="K9">
        <v>10</v>
      </c>
    </row>
    <row r="10" spans="1:17" x14ac:dyDescent="0.3">
      <c r="A10">
        <v>27</v>
      </c>
      <c r="B10">
        <v>45</v>
      </c>
      <c r="C10">
        <f>A10/(B10/60)</f>
        <v>36</v>
      </c>
      <c r="J10" t="s">
        <v>22</v>
      </c>
      <c r="K10">
        <f>K8*K9</f>
        <v>100</v>
      </c>
    </row>
    <row r="11" spans="1:17" x14ac:dyDescent="0.3">
      <c r="H11" t="s">
        <v>21</v>
      </c>
      <c r="I11">
        <v>0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2025-12-16T09:06:10Z</dcterms:created>
  <dcterms:modified xsi:type="dcterms:W3CDTF">2025-12-17T10:27:59Z</dcterms:modified>
</cp:coreProperties>
</file>