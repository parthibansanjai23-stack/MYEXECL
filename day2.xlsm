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2/"/>
    </mc:Choice>
  </mc:AlternateContent>
  <xr:revisionPtr revIDLastSave="166" documentId="8_{D425DC4F-4A82-4BC8-83A2-F755D8B4B3F6}" xr6:coauthVersionLast="47" xr6:coauthVersionMax="47" xr10:uidLastSave="{9547C865-0B36-414F-81AE-76C7D575EBF2}"/>
  <bookViews>
    <workbookView xWindow="-108" yWindow="-108" windowWidth="23256" windowHeight="12456" activeTab="1" xr2:uid="{51389671-DAD9-4E45-9396-55AEF05998AE}"/>
  </bookViews>
  <sheets>
    <sheet name="Sheet1 (2)" sheetId="5" r:id="rId1"/>
    <sheet name="sheet0" sheetId="3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5" l="1"/>
  <c r="K2" i="5"/>
  <c r="L2" i="5" s="1"/>
  <c r="L4" i="5"/>
  <c r="L5" i="5"/>
  <c r="L6" i="5"/>
  <c r="L7" i="5"/>
  <c r="L8" i="5"/>
  <c r="L9" i="5"/>
  <c r="L10" i="5"/>
  <c r="L11" i="5"/>
  <c r="L12" i="5"/>
  <c r="L13" i="5"/>
  <c r="L14" i="5"/>
  <c r="I2" i="5"/>
  <c r="J2" i="5"/>
  <c r="I3" i="5"/>
  <c r="J3" i="5"/>
  <c r="K3" i="5"/>
  <c r="I4" i="5"/>
  <c r="J4" i="5"/>
  <c r="K4" i="5"/>
  <c r="I5" i="5"/>
  <c r="J5" i="5"/>
  <c r="K5" i="5"/>
  <c r="I6" i="5"/>
  <c r="J6" i="5"/>
  <c r="K6" i="5"/>
  <c r="I7" i="5"/>
  <c r="J7" i="5"/>
  <c r="K7" i="5"/>
  <c r="I8" i="5"/>
  <c r="J8" i="5"/>
  <c r="K8" i="5"/>
  <c r="I9" i="5"/>
  <c r="J9" i="5"/>
  <c r="K9" i="5"/>
  <c r="I10" i="5"/>
  <c r="J10" i="5"/>
  <c r="K10" i="5"/>
  <c r="I11" i="5"/>
  <c r="J11" i="5"/>
  <c r="K11" i="5"/>
  <c r="I12" i="5"/>
  <c r="J12" i="5"/>
  <c r="K12" i="5"/>
  <c r="I13" i="5"/>
  <c r="J13" i="5"/>
  <c r="K13" i="5"/>
  <c r="I14" i="5"/>
  <c r="J14" i="5"/>
  <c r="K14" i="5"/>
  <c r="D7" i="1"/>
  <c r="E7" i="1"/>
  <c r="F7" i="1"/>
  <c r="G7" i="1"/>
  <c r="H7" i="1"/>
  <c r="C7" i="1"/>
  <c r="D11" i="1"/>
  <c r="D12" i="1"/>
  <c r="D13" i="1"/>
  <c r="D14" i="1"/>
  <c r="D15" i="1"/>
  <c r="D10" i="1"/>
  <c r="D2" i="3"/>
  <c r="D3" i="3"/>
  <c r="D4" i="3"/>
  <c r="D5" i="3"/>
  <c r="D6" i="3"/>
  <c r="D7" i="3"/>
  <c r="D8" i="3"/>
  <c r="D9" i="3"/>
  <c r="D10" i="3"/>
  <c r="D11" i="3"/>
  <c r="D12" i="3"/>
  <c r="D13" i="3"/>
  <c r="D14" i="3"/>
  <c r="D6" i="1"/>
  <c r="L7" i="1" s="1"/>
  <c r="L9" i="1" s="1"/>
  <c r="E6" i="1"/>
  <c r="M7" i="1" s="1"/>
  <c r="M9" i="1" s="1"/>
  <c r="F6" i="1"/>
  <c r="N7" i="1" s="1"/>
  <c r="N9" i="1" s="1"/>
  <c r="G6" i="1"/>
  <c r="O7" i="1" s="1"/>
  <c r="O9" i="1" s="1"/>
  <c r="H6" i="1"/>
  <c r="P7" i="1" s="1"/>
  <c r="P9" i="1" s="1"/>
  <c r="C6" i="1"/>
  <c r="K7" i="1" s="1"/>
  <c r="K9" i="1" s="1"/>
</calcChain>
</file>

<file path=xl/sharedStrings.xml><?xml version="1.0" encoding="utf-8"?>
<sst xmlns="http://schemas.openxmlformats.org/spreadsheetml/2006/main" count="64" uniqueCount="36">
  <si>
    <t>interest rete</t>
  </si>
  <si>
    <t>cname</t>
  </si>
  <si>
    <t>loan amt</t>
  </si>
  <si>
    <t>loan interest</t>
  </si>
  <si>
    <t xml:space="preserve">jack </t>
  </si>
  <si>
    <t>jame</t>
  </si>
  <si>
    <t>oliver</t>
  </si>
  <si>
    <t>barry</t>
  </si>
  <si>
    <t>willaim</t>
  </si>
  <si>
    <t>sam</t>
  </si>
  <si>
    <t>total</t>
  </si>
  <si>
    <t>per month</t>
  </si>
  <si>
    <t>senthil</t>
  </si>
  <si>
    <t xml:space="preserve">guna </t>
  </si>
  <si>
    <t>kanna</t>
  </si>
  <si>
    <t>will</t>
  </si>
  <si>
    <t>kane</t>
  </si>
  <si>
    <t>bart</t>
  </si>
  <si>
    <t>jessi</t>
  </si>
  <si>
    <t>ELIGBLE OR NOT ELIGIBLE</t>
  </si>
  <si>
    <t>AGE</t>
  </si>
  <si>
    <t>NAME</t>
  </si>
  <si>
    <t>S/NO</t>
  </si>
  <si>
    <t>fine amt</t>
  </si>
  <si>
    <t xml:space="preserve">fine </t>
  </si>
  <si>
    <t>rank</t>
  </si>
  <si>
    <t>result</t>
  </si>
  <si>
    <t>percentage rate</t>
  </si>
  <si>
    <t>social</t>
  </si>
  <si>
    <t>maths</t>
  </si>
  <si>
    <t>sciece</t>
  </si>
  <si>
    <t>english</t>
  </si>
  <si>
    <t xml:space="preserve">tamil </t>
  </si>
  <si>
    <t>student</t>
  </si>
  <si>
    <t>roll no</t>
  </si>
  <si>
    <t>s/no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</si>
</sst>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148A7-5FB3-43FD-9552-3B75E57DD41A}">
  <dimension ref="A1:L14"/>
  <sheetViews>
    <sheetView workbookViewId="0">
      <selection activeCell="K3" sqref="K3"/>
    </sheetView>
  </sheetViews>
  <sheetFormatPr defaultRowHeight="14.4" x14ac:dyDescent="0.3"/>
  <cols>
    <col min="1" max="1" width="4.6640625" style="2" bestFit="1" customWidth="1"/>
    <col min="2" max="2" width="9.5546875" style="2" customWidth="1"/>
    <col min="3" max="3" width="11.77734375" style="2" customWidth="1"/>
    <col min="4" max="4" width="11.44140625" style="2" customWidth="1"/>
    <col min="5" max="5" width="10.6640625" style="2" customWidth="1"/>
    <col min="6" max="6" width="8.77734375" style="2" customWidth="1"/>
    <col min="7" max="7" width="9.77734375" style="2" customWidth="1"/>
    <col min="8" max="8" width="9.109375" style="2" customWidth="1"/>
    <col min="9" max="9" width="10.88671875" style="2" customWidth="1"/>
    <col min="10" max="10" width="14" style="2" bestFit="1" customWidth="1"/>
    <col min="11" max="11" width="8.6640625" style="2" customWidth="1"/>
    <col min="12" max="12" width="12" style="2" customWidth="1"/>
    <col min="13" max="16384" width="8.88671875" style="2"/>
  </cols>
  <sheetData>
    <row r="1" spans="1:12" s="6" customFormat="1" x14ac:dyDescent="0.3">
      <c r="A1" s="7" t="s">
        <v>35</v>
      </c>
      <c r="B1" s="7" t="s">
        <v>34</v>
      </c>
      <c r="C1" s="7" t="s">
        <v>33</v>
      </c>
      <c r="D1" s="7" t="s">
        <v>32</v>
      </c>
      <c r="E1" s="7" t="s">
        <v>31</v>
      </c>
      <c r="F1" s="7" t="s">
        <v>30</v>
      </c>
      <c r="G1" s="7" t="s">
        <v>29</v>
      </c>
      <c r="H1" s="7" t="s">
        <v>28</v>
      </c>
      <c r="I1" s="7" t="s">
        <v>10</v>
      </c>
      <c r="J1" s="7" t="s">
        <v>27</v>
      </c>
      <c r="K1" s="7" t="s">
        <v>26</v>
      </c>
      <c r="L1" s="7" t="s">
        <v>25</v>
      </c>
    </row>
    <row r="2" spans="1:12" x14ac:dyDescent="0.3">
      <c r="A2" s="2">
        <v>1</v>
      </c>
      <c r="B2" s="2">
        <v>5012</v>
      </c>
      <c r="C2" s="2" t="s">
        <v>4</v>
      </c>
      <c r="D2" s="2">
        <v>98</v>
      </c>
      <c r="E2" s="2">
        <v>45</v>
      </c>
      <c r="F2" s="2">
        <v>98</v>
      </c>
      <c r="G2" s="2">
        <v>98</v>
      </c>
      <c r="H2" s="2">
        <v>45</v>
      </c>
      <c r="I2" s="2">
        <f t="shared" ref="I2:I14" si="0">SUM(D2:H2)</f>
        <v>384</v>
      </c>
      <c r="J2" s="2">
        <f t="shared" ref="J2:J14" si="1">AVERAGE(D2:H2)</f>
        <v>76.8</v>
      </c>
      <c r="K2" s="2" t="str">
        <f t="shared" ref="K2:K14" si="2">IF(AND(D2&gt;34,E2&gt;34,F2&gt;34,G2&gt;34,H2&gt;34),"PASS","FAIL")</f>
        <v>PASS</v>
      </c>
      <c r="L2" s="5">
        <f>IF(K2="PASS",RANK(J2,J$2:J$14),"no rank")</f>
        <v>6</v>
      </c>
    </row>
    <row r="3" spans="1:12" x14ac:dyDescent="0.3">
      <c r="A3" s="2">
        <v>2</v>
      </c>
      <c r="B3" s="2">
        <v>5013</v>
      </c>
      <c r="C3" s="2" t="s">
        <v>5</v>
      </c>
      <c r="D3" s="2">
        <v>56</v>
      </c>
      <c r="E3" s="2">
        <v>78</v>
      </c>
      <c r="F3" s="2">
        <v>35</v>
      </c>
      <c r="G3" s="2">
        <v>56</v>
      </c>
      <c r="H3" s="2">
        <v>78</v>
      </c>
      <c r="I3" s="2">
        <f t="shared" si="0"/>
        <v>303</v>
      </c>
      <c r="J3" s="2">
        <f t="shared" si="1"/>
        <v>60.6</v>
      </c>
      <c r="K3" s="2" t="str">
        <f t="shared" si="2"/>
        <v>PASS</v>
      </c>
      <c r="L3" s="5">
        <f t="shared" ref="L3:L14" si="3">IF(K3="PASS",RANK(J3,J$2:J$14),"no rank")</f>
        <v>12</v>
      </c>
    </row>
    <row r="4" spans="1:12" x14ac:dyDescent="0.3">
      <c r="A4" s="2">
        <v>3</v>
      </c>
      <c r="B4" s="2">
        <v>5014</v>
      </c>
      <c r="C4" s="2" t="s">
        <v>6</v>
      </c>
      <c r="D4" s="2">
        <v>88</v>
      </c>
      <c r="E4" s="2">
        <v>95</v>
      </c>
      <c r="F4" s="2">
        <v>34</v>
      </c>
      <c r="G4" s="2">
        <v>88</v>
      </c>
      <c r="H4" s="2">
        <v>95</v>
      </c>
      <c r="I4" s="2">
        <f t="shared" si="0"/>
        <v>400</v>
      </c>
      <c r="J4" s="2">
        <f t="shared" si="1"/>
        <v>80</v>
      </c>
      <c r="K4" s="2" t="str">
        <f t="shared" si="2"/>
        <v>FAIL</v>
      </c>
      <c r="L4" s="5" t="str">
        <f t="shared" si="3"/>
        <v>no rank</v>
      </c>
    </row>
    <row r="5" spans="1:12" x14ac:dyDescent="0.3">
      <c r="A5" s="2">
        <v>4</v>
      </c>
      <c r="B5" s="2">
        <v>5015</v>
      </c>
      <c r="C5" s="2" t="s">
        <v>7</v>
      </c>
      <c r="D5" s="2">
        <v>79</v>
      </c>
      <c r="E5" s="2">
        <v>57</v>
      </c>
      <c r="F5" s="2">
        <v>35</v>
      </c>
      <c r="G5" s="2">
        <v>79</v>
      </c>
      <c r="H5" s="2">
        <v>57</v>
      </c>
      <c r="I5" s="2">
        <f t="shared" si="0"/>
        <v>307</v>
      </c>
      <c r="J5" s="2">
        <f t="shared" si="1"/>
        <v>61.4</v>
      </c>
      <c r="K5" s="2" t="str">
        <f t="shared" si="2"/>
        <v>PASS</v>
      </c>
      <c r="L5" s="5">
        <f t="shared" si="3"/>
        <v>11</v>
      </c>
    </row>
    <row r="6" spans="1:12" x14ac:dyDescent="0.3">
      <c r="A6" s="2">
        <v>5</v>
      </c>
      <c r="B6" s="2">
        <v>5016</v>
      </c>
      <c r="C6" s="2" t="s">
        <v>8</v>
      </c>
      <c r="D6" s="2">
        <v>97</v>
      </c>
      <c r="E6" s="2">
        <v>98</v>
      </c>
      <c r="F6" s="2">
        <v>49</v>
      </c>
      <c r="G6" s="2">
        <v>100</v>
      </c>
      <c r="H6" s="2">
        <v>98</v>
      </c>
      <c r="I6" s="2">
        <f t="shared" si="0"/>
        <v>442</v>
      </c>
      <c r="J6" s="2">
        <f t="shared" si="1"/>
        <v>88.4</v>
      </c>
      <c r="K6" s="2" t="str">
        <f t="shared" si="2"/>
        <v>PASS</v>
      </c>
      <c r="L6" s="5">
        <f t="shared" si="3"/>
        <v>1</v>
      </c>
    </row>
    <row r="7" spans="1:12" x14ac:dyDescent="0.3">
      <c r="A7" s="2">
        <v>6</v>
      </c>
      <c r="B7" s="2">
        <v>5017</v>
      </c>
      <c r="C7" s="2" t="s">
        <v>9</v>
      </c>
      <c r="D7" s="2">
        <v>66</v>
      </c>
      <c r="E7" s="2">
        <v>35</v>
      </c>
      <c r="F7" s="2">
        <v>66</v>
      </c>
      <c r="G7" s="2">
        <v>35</v>
      </c>
      <c r="H7" s="2">
        <v>56</v>
      </c>
      <c r="I7" s="2">
        <f t="shared" si="0"/>
        <v>258</v>
      </c>
      <c r="J7" s="2">
        <f t="shared" si="1"/>
        <v>51.6</v>
      </c>
      <c r="K7" s="2" t="str">
        <f t="shared" si="2"/>
        <v>PASS</v>
      </c>
      <c r="L7" s="5">
        <f t="shared" si="3"/>
        <v>13</v>
      </c>
    </row>
    <row r="8" spans="1:12" x14ac:dyDescent="0.3">
      <c r="A8" s="2">
        <v>7</v>
      </c>
      <c r="B8" s="2">
        <v>5018</v>
      </c>
      <c r="C8" s="2" t="s">
        <v>18</v>
      </c>
      <c r="D8" s="2">
        <v>45</v>
      </c>
      <c r="E8" s="2">
        <v>88</v>
      </c>
      <c r="F8" s="2">
        <v>88</v>
      </c>
      <c r="G8" s="2">
        <v>95</v>
      </c>
      <c r="H8" s="2">
        <v>88</v>
      </c>
      <c r="I8" s="2">
        <f t="shared" si="0"/>
        <v>404</v>
      </c>
      <c r="J8" s="2">
        <f t="shared" si="1"/>
        <v>80.8</v>
      </c>
      <c r="K8" s="2" t="str">
        <f t="shared" si="2"/>
        <v>PASS</v>
      </c>
      <c r="L8" s="5">
        <f t="shared" si="3"/>
        <v>2</v>
      </c>
    </row>
    <row r="9" spans="1:12" x14ac:dyDescent="0.3">
      <c r="A9" s="2">
        <v>8</v>
      </c>
      <c r="B9" s="2">
        <v>5019</v>
      </c>
      <c r="C9" s="2" t="s">
        <v>17</v>
      </c>
      <c r="D9" s="2">
        <v>78</v>
      </c>
      <c r="E9" s="2">
        <v>79</v>
      </c>
      <c r="F9" s="2">
        <v>79</v>
      </c>
      <c r="G9" s="2">
        <v>65</v>
      </c>
      <c r="H9" s="2">
        <v>34</v>
      </c>
      <c r="I9" s="2">
        <f t="shared" si="0"/>
        <v>335</v>
      </c>
      <c r="J9" s="2">
        <f t="shared" si="1"/>
        <v>67</v>
      </c>
      <c r="K9" s="2" t="str">
        <f t="shared" si="2"/>
        <v>FAIL</v>
      </c>
      <c r="L9" s="5" t="str">
        <f t="shared" si="3"/>
        <v>no rank</v>
      </c>
    </row>
    <row r="10" spans="1:12" x14ac:dyDescent="0.3">
      <c r="A10" s="2">
        <v>9</v>
      </c>
      <c r="B10" s="2">
        <v>5020</v>
      </c>
      <c r="C10" s="2" t="s">
        <v>16</v>
      </c>
      <c r="D10" s="2">
        <v>95</v>
      </c>
      <c r="E10" s="2">
        <v>39</v>
      </c>
      <c r="F10" s="2">
        <v>34</v>
      </c>
      <c r="G10" s="2">
        <v>88</v>
      </c>
      <c r="H10" s="2">
        <v>100</v>
      </c>
      <c r="I10" s="2">
        <f t="shared" si="0"/>
        <v>356</v>
      </c>
      <c r="J10" s="2">
        <f t="shared" si="1"/>
        <v>71.2</v>
      </c>
      <c r="K10" s="2" t="str">
        <f t="shared" si="2"/>
        <v>FAIL</v>
      </c>
      <c r="L10" s="5" t="str">
        <f t="shared" si="3"/>
        <v>no rank</v>
      </c>
    </row>
    <row r="11" spans="1:12" x14ac:dyDescent="0.3">
      <c r="A11" s="2">
        <v>10</v>
      </c>
      <c r="B11" s="2">
        <v>5021</v>
      </c>
      <c r="C11" s="2" t="s">
        <v>15</v>
      </c>
      <c r="D11" s="2">
        <v>57</v>
      </c>
      <c r="E11" s="2">
        <v>65</v>
      </c>
      <c r="F11" s="2">
        <v>66</v>
      </c>
      <c r="G11" s="2">
        <v>79</v>
      </c>
      <c r="H11" s="2">
        <v>66</v>
      </c>
      <c r="I11" s="2">
        <f t="shared" si="0"/>
        <v>333</v>
      </c>
      <c r="J11" s="2">
        <f t="shared" si="1"/>
        <v>66.599999999999994</v>
      </c>
      <c r="K11" s="2" t="str">
        <f t="shared" si="2"/>
        <v>PASS</v>
      </c>
      <c r="L11" s="5">
        <f t="shared" si="3"/>
        <v>9</v>
      </c>
    </row>
    <row r="12" spans="1:12" x14ac:dyDescent="0.3">
      <c r="A12" s="2">
        <v>11</v>
      </c>
      <c r="B12" s="2">
        <v>5022</v>
      </c>
      <c r="C12" s="2" t="s">
        <v>14</v>
      </c>
      <c r="D12" s="2">
        <v>55</v>
      </c>
      <c r="E12" s="2">
        <v>77</v>
      </c>
      <c r="F12" s="2">
        <v>66</v>
      </c>
      <c r="G12" s="2">
        <v>44</v>
      </c>
      <c r="H12" s="2">
        <v>87</v>
      </c>
      <c r="I12" s="2">
        <f t="shared" si="0"/>
        <v>329</v>
      </c>
      <c r="J12" s="2">
        <f t="shared" si="1"/>
        <v>65.8</v>
      </c>
      <c r="K12" s="2" t="str">
        <f t="shared" si="2"/>
        <v>PASS</v>
      </c>
      <c r="L12" s="5">
        <f t="shared" si="3"/>
        <v>10</v>
      </c>
    </row>
    <row r="13" spans="1:12" x14ac:dyDescent="0.3">
      <c r="A13" s="2">
        <v>12</v>
      </c>
      <c r="B13" s="2">
        <v>5023</v>
      </c>
      <c r="C13" s="2" t="s">
        <v>13</v>
      </c>
      <c r="D13" s="2">
        <v>99</v>
      </c>
      <c r="E13" s="2">
        <v>35</v>
      </c>
      <c r="F13" s="2">
        <v>95</v>
      </c>
      <c r="G13" s="2">
        <v>74</v>
      </c>
      <c r="H13" s="2">
        <v>97</v>
      </c>
      <c r="I13" s="2">
        <f t="shared" si="0"/>
        <v>400</v>
      </c>
      <c r="J13" s="2">
        <f t="shared" si="1"/>
        <v>80</v>
      </c>
      <c r="K13" s="2" t="str">
        <f t="shared" si="2"/>
        <v>PASS</v>
      </c>
      <c r="L13" s="5">
        <f t="shared" si="3"/>
        <v>3</v>
      </c>
    </row>
    <row r="14" spans="1:12" x14ac:dyDescent="0.3">
      <c r="A14" s="2">
        <v>13</v>
      </c>
      <c r="B14" s="2">
        <v>5024</v>
      </c>
      <c r="C14" s="2" t="s">
        <v>12</v>
      </c>
      <c r="D14" s="2">
        <v>88</v>
      </c>
      <c r="E14" s="2">
        <v>99</v>
      </c>
      <c r="F14" s="2">
        <v>87</v>
      </c>
      <c r="G14" s="2">
        <v>36</v>
      </c>
      <c r="H14" s="2">
        <v>85</v>
      </c>
      <c r="I14" s="2">
        <f t="shared" si="0"/>
        <v>395</v>
      </c>
      <c r="J14" s="2">
        <f t="shared" si="1"/>
        <v>79</v>
      </c>
      <c r="K14" s="2" t="str">
        <f t="shared" si="2"/>
        <v>PASS</v>
      </c>
      <c r="L14" s="5">
        <f t="shared" si="3"/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B51B-74EA-478D-8963-D6EEFA624314}">
  <dimension ref="A1:D14"/>
  <sheetViews>
    <sheetView tabSelected="1" workbookViewId="0">
      <selection activeCell="D2" sqref="D2"/>
    </sheetView>
  </sheetViews>
  <sheetFormatPr defaultRowHeight="14.4" x14ac:dyDescent="0.3"/>
  <cols>
    <col min="1" max="1" width="10.109375" customWidth="1"/>
    <col min="2" max="2" width="25.6640625" customWidth="1"/>
    <col min="3" max="3" width="10.21875" customWidth="1"/>
    <col min="4" max="4" width="22.6640625" bestFit="1" customWidth="1"/>
  </cols>
  <sheetData>
    <row r="1" spans="1:4" x14ac:dyDescent="0.3">
      <c r="A1" s="4" t="s">
        <v>22</v>
      </c>
      <c r="B1" s="4" t="s">
        <v>21</v>
      </c>
      <c r="C1" s="4" t="s">
        <v>20</v>
      </c>
      <c r="D1" s="4" t="s">
        <v>19</v>
      </c>
    </row>
    <row r="2" spans="1:4" x14ac:dyDescent="0.3">
      <c r="A2">
        <v>1</v>
      </c>
      <c r="B2" s="3" t="s">
        <v>4</v>
      </c>
      <c r="C2">
        <v>21</v>
      </c>
      <c r="D2" t="str">
        <f t="shared" ref="D2:D14" si="0">IF(C2&gt;=18,"ELIGIBLE","NOT ELIGIBLE")</f>
        <v>ELIGIBLE</v>
      </c>
    </row>
    <row r="3" spans="1:4" x14ac:dyDescent="0.3">
      <c r="A3">
        <v>2</v>
      </c>
      <c r="B3" s="3" t="s">
        <v>5</v>
      </c>
      <c r="C3">
        <v>18</v>
      </c>
      <c r="D3" t="str">
        <f t="shared" si="0"/>
        <v>ELIGIBLE</v>
      </c>
    </row>
    <row r="4" spans="1:4" x14ac:dyDescent="0.3">
      <c r="A4">
        <v>3</v>
      </c>
      <c r="B4" s="3" t="s">
        <v>6</v>
      </c>
      <c r="C4">
        <v>15</v>
      </c>
      <c r="D4" t="str">
        <f t="shared" si="0"/>
        <v>NOT ELIGIBLE</v>
      </c>
    </row>
    <row r="5" spans="1:4" x14ac:dyDescent="0.3">
      <c r="A5">
        <v>4</v>
      </c>
      <c r="B5" s="3" t="s">
        <v>7</v>
      </c>
      <c r="C5">
        <v>24</v>
      </c>
      <c r="D5" t="str">
        <f t="shared" si="0"/>
        <v>ELIGIBLE</v>
      </c>
    </row>
    <row r="6" spans="1:4" x14ac:dyDescent="0.3">
      <c r="A6">
        <v>5</v>
      </c>
      <c r="B6" s="3" t="s">
        <v>8</v>
      </c>
      <c r="C6">
        <v>26</v>
      </c>
      <c r="D6" t="str">
        <f t="shared" si="0"/>
        <v>ELIGIBLE</v>
      </c>
    </row>
    <row r="7" spans="1:4" x14ac:dyDescent="0.3">
      <c r="A7">
        <v>6</v>
      </c>
      <c r="B7" s="3" t="s">
        <v>9</v>
      </c>
      <c r="C7">
        <v>10</v>
      </c>
      <c r="D7" t="str">
        <f t="shared" si="0"/>
        <v>NOT ELIGIBLE</v>
      </c>
    </row>
    <row r="8" spans="1:4" x14ac:dyDescent="0.3">
      <c r="A8">
        <v>7</v>
      </c>
      <c r="B8" s="3" t="s">
        <v>18</v>
      </c>
      <c r="C8">
        <v>34</v>
      </c>
      <c r="D8" t="str">
        <f t="shared" si="0"/>
        <v>ELIGIBLE</v>
      </c>
    </row>
    <row r="9" spans="1:4" x14ac:dyDescent="0.3">
      <c r="A9">
        <v>8</v>
      </c>
      <c r="B9" s="3" t="s">
        <v>17</v>
      </c>
      <c r="C9">
        <v>19</v>
      </c>
      <c r="D9" t="str">
        <f t="shared" si="0"/>
        <v>ELIGIBLE</v>
      </c>
    </row>
    <row r="10" spans="1:4" x14ac:dyDescent="0.3">
      <c r="A10">
        <v>9</v>
      </c>
      <c r="B10" s="3" t="s">
        <v>16</v>
      </c>
      <c r="C10">
        <v>17</v>
      </c>
      <c r="D10" t="str">
        <f t="shared" si="0"/>
        <v>NOT ELIGIBLE</v>
      </c>
    </row>
    <row r="11" spans="1:4" x14ac:dyDescent="0.3">
      <c r="A11">
        <v>10</v>
      </c>
      <c r="B11" s="3" t="s">
        <v>15</v>
      </c>
      <c r="C11">
        <v>25</v>
      </c>
      <c r="D11" t="str">
        <f t="shared" si="0"/>
        <v>ELIGIBLE</v>
      </c>
    </row>
    <row r="12" spans="1:4" x14ac:dyDescent="0.3">
      <c r="A12">
        <v>11</v>
      </c>
      <c r="B12" s="3" t="s">
        <v>14</v>
      </c>
      <c r="C12">
        <v>17</v>
      </c>
      <c r="D12" t="str">
        <f t="shared" si="0"/>
        <v>NOT ELIGIBLE</v>
      </c>
    </row>
    <row r="13" spans="1:4" x14ac:dyDescent="0.3">
      <c r="A13">
        <v>12</v>
      </c>
      <c r="B13" s="3" t="s">
        <v>13</v>
      </c>
      <c r="C13">
        <v>21</v>
      </c>
      <c r="D13" t="str">
        <f t="shared" si="0"/>
        <v>ELIGIBLE</v>
      </c>
    </row>
    <row r="14" spans="1:4" x14ac:dyDescent="0.3">
      <c r="A14">
        <v>13</v>
      </c>
      <c r="B14" s="3" t="s">
        <v>12</v>
      </c>
      <c r="C14">
        <v>12</v>
      </c>
      <c r="D14" t="str">
        <f t="shared" si="0"/>
        <v>NOT ELIGIBLE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span" xr2:uid="{9B481AF8-0277-4C03-A2E0-B24464F0F6E2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sheet0!A2:B2</xm:f>
              <xm:sqref>C2</xm:sqref>
            </x14:sparkline>
            <x14:sparkline>
              <xm:f>sheet0!A3:B3</xm:f>
              <xm:sqref>C3</xm:sqref>
            </x14:sparkline>
            <x14:sparkline>
              <xm:f>sheet0!A4:B4</xm:f>
              <xm:sqref>C4</xm:sqref>
            </x14:sparkline>
            <x14:sparkline>
              <xm:f>sheet0!A5:B5</xm:f>
              <xm:sqref>C5</xm:sqref>
            </x14:sparkline>
            <x14:sparkline>
              <xm:f>sheet0!A6:B6</xm:f>
              <xm:sqref>C6</xm:sqref>
            </x14:sparkline>
            <x14:sparkline>
              <xm:f>sheet0!A7:B7</xm:f>
              <xm:sqref>C7</xm:sqref>
            </x14:sparkline>
            <x14:sparkline>
              <xm:f>sheet0!A8:B8</xm:f>
              <xm:sqref>C8</xm:sqref>
            </x14:sparkline>
            <x14:sparkline>
              <xm:f>sheet0!A9:B9</xm:f>
              <xm:sqref>C9</xm:sqref>
            </x14:sparkline>
            <x14:sparkline>
              <xm:f>sheet0!A10:B10</xm:f>
              <xm:sqref>C10</xm:sqref>
            </x14:sparkline>
            <x14:sparkline>
              <xm:f>sheet0!A11:B11</xm:f>
              <xm:sqref>C11</xm:sqref>
            </x14:sparkline>
            <x14:sparkline>
              <xm:f>sheet0!A12:B12</xm:f>
              <xm:sqref>C12</xm:sqref>
            </x14:sparkline>
            <x14:sparkline>
              <xm:f>sheet0!A13:B13</xm:f>
              <xm:sqref>C13</xm:sqref>
            </x14:sparkline>
            <x14:sparkline>
              <xm:f>sheet0!A14:B14</xm:f>
              <xm:sqref>C14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7DD7-4F9F-44A5-B381-49196B48057D}">
  <dimension ref="B2:P15"/>
  <sheetViews>
    <sheetView zoomScale="110" workbookViewId="0">
      <selection activeCell="C16" sqref="C16"/>
    </sheetView>
  </sheetViews>
  <sheetFormatPr defaultRowHeight="14.4" x14ac:dyDescent="0.3"/>
  <cols>
    <col min="2" max="2" width="11.77734375" bestFit="1" customWidth="1"/>
  </cols>
  <sheetData>
    <row r="2" spans="2:16" x14ac:dyDescent="0.3">
      <c r="B2" t="s">
        <v>0</v>
      </c>
      <c r="C2" s="1">
        <v>0.12</v>
      </c>
      <c r="E2" t="s">
        <v>24</v>
      </c>
      <c r="F2" s="1">
        <v>0.02</v>
      </c>
    </row>
    <row r="4" spans="2:16" x14ac:dyDescent="0.3">
      <c r="B4" t="s">
        <v>1</v>
      </c>
      <c r="C4" s="2" t="s">
        <v>4</v>
      </c>
      <c r="D4" s="2" t="s">
        <v>5</v>
      </c>
      <c r="E4" s="2" t="s">
        <v>7</v>
      </c>
      <c r="F4" s="2" t="s">
        <v>6</v>
      </c>
      <c r="G4" s="2" t="s">
        <v>8</v>
      </c>
      <c r="H4" s="2" t="s">
        <v>9</v>
      </c>
    </row>
    <row r="5" spans="2:16" x14ac:dyDescent="0.3">
      <c r="B5" t="s">
        <v>2</v>
      </c>
      <c r="C5">
        <v>10000</v>
      </c>
      <c r="D5" s="2">
        <v>20000</v>
      </c>
      <c r="E5" s="2">
        <v>50000</v>
      </c>
      <c r="F5" s="2">
        <v>5000</v>
      </c>
      <c r="G5" s="2">
        <v>10000</v>
      </c>
      <c r="H5" s="2">
        <v>15050</v>
      </c>
    </row>
    <row r="6" spans="2:16" x14ac:dyDescent="0.3">
      <c r="B6" t="s">
        <v>3</v>
      </c>
      <c r="C6">
        <f>C5*$C$2</f>
        <v>1200</v>
      </c>
      <c r="D6">
        <f t="shared" ref="D6:H6" si="0">D5*$C$2</f>
        <v>2400</v>
      </c>
      <c r="E6">
        <f t="shared" si="0"/>
        <v>6000</v>
      </c>
      <c r="F6">
        <f t="shared" si="0"/>
        <v>600</v>
      </c>
      <c r="G6">
        <f t="shared" si="0"/>
        <v>1200</v>
      </c>
      <c r="H6">
        <f t="shared" si="0"/>
        <v>1806</v>
      </c>
    </row>
    <row r="7" spans="2:16" x14ac:dyDescent="0.3">
      <c r="B7" t="s">
        <v>23</v>
      </c>
      <c r="C7">
        <f>C5*$F$2</f>
        <v>200</v>
      </c>
      <c r="D7">
        <f t="shared" ref="D7:H7" si="1">D5*$F$2</f>
        <v>400</v>
      </c>
      <c r="E7">
        <f t="shared" si="1"/>
        <v>1000</v>
      </c>
      <c r="F7">
        <f t="shared" si="1"/>
        <v>100</v>
      </c>
      <c r="G7">
        <f t="shared" si="1"/>
        <v>200</v>
      </c>
      <c r="H7">
        <f t="shared" si="1"/>
        <v>301</v>
      </c>
      <c r="J7" t="s">
        <v>10</v>
      </c>
      <c r="K7">
        <f t="shared" ref="K7:P7" si="2">SUM(C5:C6)</f>
        <v>11200</v>
      </c>
      <c r="L7">
        <f t="shared" si="2"/>
        <v>22400</v>
      </c>
      <c r="M7">
        <f t="shared" si="2"/>
        <v>56000</v>
      </c>
      <c r="N7">
        <f t="shared" si="2"/>
        <v>5600</v>
      </c>
      <c r="O7">
        <f t="shared" si="2"/>
        <v>11200</v>
      </c>
      <c r="P7">
        <f t="shared" si="2"/>
        <v>16856</v>
      </c>
    </row>
    <row r="9" spans="2:16" x14ac:dyDescent="0.3">
      <c r="B9" t="s">
        <v>1</v>
      </c>
      <c r="C9" t="s">
        <v>2</v>
      </c>
      <c r="J9" t="s">
        <v>11</v>
      </c>
      <c r="K9">
        <f>K7/12</f>
        <v>933.33333333333337</v>
      </c>
      <c r="L9">
        <f t="shared" ref="L9:P9" si="3">L7/12</f>
        <v>1866.6666666666667</v>
      </c>
      <c r="M9">
        <f t="shared" si="3"/>
        <v>4666.666666666667</v>
      </c>
      <c r="N9">
        <f t="shared" si="3"/>
        <v>466.66666666666669</v>
      </c>
      <c r="O9">
        <f t="shared" si="3"/>
        <v>933.33333333333337</v>
      </c>
      <c r="P9">
        <f t="shared" si="3"/>
        <v>1404.6666666666667</v>
      </c>
    </row>
    <row r="10" spans="2:16" x14ac:dyDescent="0.3">
      <c r="B10" s="2" t="s">
        <v>4</v>
      </c>
      <c r="C10">
        <v>10000</v>
      </c>
      <c r="D10">
        <f>C10*$F$2</f>
        <v>200</v>
      </c>
    </row>
    <row r="11" spans="2:16" x14ac:dyDescent="0.3">
      <c r="B11" s="2" t="s">
        <v>5</v>
      </c>
      <c r="C11" s="2">
        <v>20000</v>
      </c>
      <c r="D11">
        <f t="shared" ref="D11:D15" si="4">C11*$F$2</f>
        <v>400</v>
      </c>
    </row>
    <row r="12" spans="2:16" x14ac:dyDescent="0.3">
      <c r="B12" s="2" t="s">
        <v>7</v>
      </c>
      <c r="C12" s="2">
        <v>50000</v>
      </c>
      <c r="D12">
        <f t="shared" si="4"/>
        <v>1000</v>
      </c>
    </row>
    <row r="13" spans="2:16" x14ac:dyDescent="0.3">
      <c r="B13" s="2" t="s">
        <v>6</v>
      </c>
      <c r="C13" s="2">
        <v>5000</v>
      </c>
      <c r="D13">
        <f t="shared" si="4"/>
        <v>100</v>
      </c>
    </row>
    <row r="14" spans="2:16" x14ac:dyDescent="0.3">
      <c r="B14" s="2" t="s">
        <v>8</v>
      </c>
      <c r="C14" s="2">
        <v>10000</v>
      </c>
      <c r="D14">
        <f t="shared" si="4"/>
        <v>200</v>
      </c>
    </row>
    <row r="15" spans="2:16" x14ac:dyDescent="0.3">
      <c r="B15" s="2" t="s">
        <v>9</v>
      </c>
      <c r="C15" s="2">
        <v>15050</v>
      </c>
      <c r="D15">
        <f t="shared" si="4"/>
        <v>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 (2)</vt:lpstr>
      <vt:lpstr>sheet0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2025-12-02T10:28:07Z</dcterms:created>
  <dcterms:modified xsi:type="dcterms:W3CDTF">2025-12-05T09:20:55Z</dcterms:modified>
</cp:coreProperties>
</file>