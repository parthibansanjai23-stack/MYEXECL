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cb00cd48f2e822/Desktop/JDA/day4/"/>
    </mc:Choice>
  </mc:AlternateContent>
  <xr:revisionPtr revIDLastSave="41" documentId="8_{D2807BC3-B25F-479E-91DB-7AF4F7071C00}" xr6:coauthVersionLast="47" xr6:coauthVersionMax="47" xr10:uidLastSave="{A0D0E3D1-3EC3-4FF2-813A-790B1CB0C818}"/>
  <bookViews>
    <workbookView xWindow="-108" yWindow="-108" windowWidth="23256" windowHeight="12456" activeTab="1" xr2:uid="{E09DCE15-206B-4EA3-A236-3FA1A298FBCF}"/>
  </bookViews>
  <sheets>
    <sheet name="Sheet1" sheetId="1" r:id="rId1"/>
    <sheet name="paid" sheetId="3" r:id="rId2"/>
    <sheet name="fee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" i="3"/>
  <c r="E2" i="3"/>
  <c r="E3" i="3"/>
  <c r="E4" i="3"/>
  <c r="E5" i="3"/>
  <c r="E6" i="3"/>
  <c r="E7" i="3"/>
  <c r="E8" i="3"/>
  <c r="E9" i="3"/>
  <c r="E10" i="3"/>
  <c r="E11" i="3"/>
  <c r="E12" i="3"/>
  <c r="E13" i="3"/>
  <c r="D3" i="3"/>
  <c r="D4" i="3"/>
  <c r="D5" i="3"/>
  <c r="D6" i="3"/>
  <c r="D7" i="3"/>
  <c r="D8" i="3"/>
  <c r="D9" i="3"/>
  <c r="D10" i="3"/>
  <c r="D11" i="3"/>
  <c r="D12" i="3"/>
  <c r="D13" i="3"/>
  <c r="E2" i="1"/>
  <c r="F2" i="1" s="1"/>
  <c r="E3" i="1"/>
  <c r="F3" i="1" s="1"/>
  <c r="E4" i="1"/>
  <c r="F4" i="1" s="1"/>
  <c r="E5" i="1"/>
  <c r="F5" i="1" s="1"/>
  <c r="E6" i="1"/>
  <c r="F6" i="1" s="1"/>
  <c r="E7" i="1"/>
  <c r="F7" i="1" s="1"/>
  <c r="E8" i="1"/>
  <c r="F8" i="1" s="1"/>
  <c r="E9" i="1"/>
  <c r="E10" i="1"/>
  <c r="F10" i="1" s="1"/>
  <c r="E11" i="1"/>
  <c r="F11" i="1" s="1"/>
  <c r="E12" i="1"/>
  <c r="F12" i="1" s="1"/>
  <c r="E13" i="1"/>
  <c r="F13" i="1" s="1"/>
  <c r="E14" i="1"/>
  <c r="F14" i="1" s="1"/>
  <c r="F9" i="1"/>
</calcChain>
</file>

<file path=xl/sharedStrings.xml><?xml version="1.0" encoding="utf-8"?>
<sst xmlns="http://schemas.openxmlformats.org/spreadsheetml/2006/main" count="97" uniqueCount="68">
  <si>
    <t>s/no</t>
  </si>
  <si>
    <t>roll no</t>
  </si>
  <si>
    <t>student</t>
  </si>
  <si>
    <t xml:space="preserve">jack </t>
  </si>
  <si>
    <t>jame</t>
  </si>
  <si>
    <t>oliver</t>
  </si>
  <si>
    <t>barry</t>
  </si>
  <si>
    <t>willaim</t>
  </si>
  <si>
    <t>sam</t>
  </si>
  <si>
    <t>jessi</t>
  </si>
  <si>
    <t>bart</t>
  </si>
  <si>
    <t>kane</t>
  </si>
  <si>
    <t>will</t>
  </si>
  <si>
    <t>kanna</t>
  </si>
  <si>
    <t xml:space="preserve">guna </t>
  </si>
  <si>
    <t>senthil</t>
  </si>
  <si>
    <t>course</t>
  </si>
  <si>
    <t>total fees</t>
  </si>
  <si>
    <t>DATA ANALYST</t>
  </si>
  <si>
    <t>FULL STACK</t>
  </si>
  <si>
    <t>UI/UX</t>
  </si>
  <si>
    <t>PYTHON</t>
  </si>
  <si>
    <t>EXCEL</t>
  </si>
  <si>
    <t>Course</t>
  </si>
  <si>
    <t>Fees</t>
  </si>
  <si>
    <t>C++</t>
  </si>
  <si>
    <t>PHP</t>
  </si>
  <si>
    <t>TALLY</t>
  </si>
  <si>
    <t>WEB DEVELOPMENT</t>
  </si>
  <si>
    <t>WEB DESIGN</t>
  </si>
  <si>
    <t>AI</t>
  </si>
  <si>
    <t>MYSQL</t>
  </si>
  <si>
    <t>POWER BI</t>
  </si>
  <si>
    <t>c</t>
  </si>
  <si>
    <t>error/correct</t>
  </si>
  <si>
    <t>IFERROR(WHAT COLOUM,"***")</t>
  </si>
  <si>
    <t>FORMULA</t>
  </si>
  <si>
    <t>VLOOKUP(D2,FEES!(!ITS IS MANDATORY FOR SHIFTING ANOTHER SHEET),A:B,FALSE)</t>
  </si>
  <si>
    <t>iferror(vlookup(d2,fees!a:b,false),"not found")</t>
  </si>
  <si>
    <t>error *not found* in same colum as vlookup formula</t>
  </si>
  <si>
    <t>paid fees</t>
  </si>
  <si>
    <t>bill no</t>
  </si>
  <si>
    <t>date</t>
  </si>
  <si>
    <t>fee paid</t>
  </si>
  <si>
    <t>sname</t>
  </si>
  <si>
    <t>b501</t>
  </si>
  <si>
    <t>b502</t>
  </si>
  <si>
    <t>b503</t>
  </si>
  <si>
    <t>b504</t>
  </si>
  <si>
    <t>b505</t>
  </si>
  <si>
    <t>b506</t>
  </si>
  <si>
    <t>b507</t>
  </si>
  <si>
    <t>b508</t>
  </si>
  <si>
    <t>b509</t>
  </si>
  <si>
    <t>b510</t>
  </si>
  <si>
    <t>b511</t>
  </si>
  <si>
    <t>b512</t>
  </si>
  <si>
    <t>balance</t>
  </si>
  <si>
    <t>b513</t>
  </si>
  <si>
    <t>b514</t>
  </si>
  <si>
    <t>b515</t>
  </si>
  <si>
    <t>b516</t>
  </si>
  <si>
    <t>b517</t>
  </si>
  <si>
    <t>b518</t>
  </si>
  <si>
    <t>b519</t>
  </si>
  <si>
    <t>b520</t>
  </si>
  <si>
    <t>b521</t>
  </si>
  <si>
    <t>b522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</si>
</sst>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2" borderId="0" xfId="0" applyFont="1" applyFill="1"/>
    <xf numFmtId="0" fontId="2" fillId="0" borderId="1" xfId="0" applyFont="1" applyBorder="1"/>
    <xf numFmtId="0" fontId="0" fillId="0" borderId="1" xfId="0" applyBorder="1"/>
    <xf numFmtId="0" fontId="0" fillId="0" borderId="0" xfId="0" applyAlignment="1">
      <alignment wrapText="1"/>
    </xf>
    <xf numFmtId="0" fontId="4" fillId="2" borderId="1" xfId="0" applyFont="1" applyFill="1" applyBorder="1"/>
    <xf numFmtId="0" fontId="4" fillId="2" borderId="0" xfId="0" applyFont="1" applyFill="1"/>
    <xf numFmtId="0" fontId="4" fillId="0" borderId="0" xfId="0" applyFont="1"/>
    <xf numFmtId="0" fontId="1" fillId="0" borderId="0" xfId="0" applyFont="1"/>
    <xf numFmtId="0" fontId="1" fillId="2" borderId="1" xfId="0" applyFont="1" applyFill="1" applyBorder="1"/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7AA0-EAC4-414C-9E5B-F201F2602B64}">
  <dimension ref="A1:H18"/>
  <sheetViews>
    <sheetView zoomScaleNormal="100" workbookViewId="0">
      <selection activeCell="F2" sqref="F2"/>
    </sheetView>
  </sheetViews>
  <sheetFormatPr defaultRowHeight="14.4" x14ac:dyDescent="0.3"/>
  <cols>
    <col min="3" max="3" width="10.5546875" bestFit="1" customWidth="1"/>
    <col min="4" max="4" width="14.88671875" customWidth="1"/>
    <col min="5" max="5" width="19" customWidth="1"/>
    <col min="6" max="6" width="27.88671875" bestFit="1" customWidth="1"/>
    <col min="7" max="7" width="13.88671875" customWidth="1"/>
    <col min="8" max="8" width="11.109375" customWidth="1"/>
    <col min="9" max="9" width="6.6640625" customWidth="1"/>
  </cols>
  <sheetData>
    <row r="1" spans="1:8" s="7" customFormat="1" ht="21" x14ac:dyDescent="0.4">
      <c r="A1" s="5" t="s">
        <v>0</v>
      </c>
      <c r="B1" s="5" t="s">
        <v>1</v>
      </c>
      <c r="C1" s="5" t="s">
        <v>2</v>
      </c>
      <c r="D1" s="5" t="s">
        <v>16</v>
      </c>
      <c r="E1" s="5" t="s">
        <v>17</v>
      </c>
      <c r="F1" s="5" t="s">
        <v>34</v>
      </c>
      <c r="G1" s="6" t="s">
        <v>40</v>
      </c>
      <c r="H1" s="6" t="s">
        <v>57</v>
      </c>
    </row>
    <row r="2" spans="1:8" ht="15.6" x14ac:dyDescent="0.3">
      <c r="A2" s="2">
        <v>1</v>
      </c>
      <c r="B2" s="2">
        <v>5012</v>
      </c>
      <c r="C2" s="2" t="s">
        <v>3</v>
      </c>
      <c r="D2" s="3" t="s">
        <v>20</v>
      </c>
      <c r="E2" s="2">
        <f>IFERROR(VLOOKUP(D2,fees!B:C,2,FALSE),"NOT FOUND")</f>
        <v>35000</v>
      </c>
      <c r="F2" s="3">
        <f>IFERROR(E2,"NOT FOUND")</f>
        <v>35000</v>
      </c>
      <c r="G2" s="3">
        <f>SUMIF(paid!C:C,Sheet1!B2,paid!F:F)</f>
        <v>35000</v>
      </c>
    </row>
    <row r="3" spans="1:8" ht="15.6" x14ac:dyDescent="0.3">
      <c r="A3" s="2">
        <v>2</v>
      </c>
      <c r="B3" s="2">
        <v>5013</v>
      </c>
      <c r="C3" s="2" t="s">
        <v>4</v>
      </c>
      <c r="D3" s="3" t="s">
        <v>21</v>
      </c>
      <c r="E3" s="2">
        <f>IFERROR(VLOOKUP(D3,fees!B:C,2,FALSE),"NOT FOUND")</f>
        <v>18500</v>
      </c>
      <c r="F3" s="3">
        <f t="shared" ref="F3:F14" si="0">IFERROR(E3,"NOT FOUND")</f>
        <v>18500</v>
      </c>
      <c r="G3" s="3">
        <f>SUMIF(paid!C:C,Sheet1!B3,paid!F:F)</f>
        <v>9000</v>
      </c>
    </row>
    <row r="4" spans="1:8" ht="15.6" x14ac:dyDescent="0.3">
      <c r="A4" s="2">
        <v>3</v>
      </c>
      <c r="B4" s="2">
        <v>5014</v>
      </c>
      <c r="C4" s="2" t="s">
        <v>5</v>
      </c>
      <c r="D4" s="3" t="s">
        <v>22</v>
      </c>
      <c r="E4" s="2">
        <f>IFERROR(VLOOKUP(D4,fees!B:C,2,FALSE),"NOT FOUND")</f>
        <v>10000</v>
      </c>
      <c r="F4" s="3">
        <f t="shared" si="0"/>
        <v>10000</v>
      </c>
      <c r="G4" s="3">
        <f>SUMIF(paid!C:C,Sheet1!B4,paid!F:F)</f>
        <v>10000</v>
      </c>
    </row>
    <row r="5" spans="1:8" ht="15.6" x14ac:dyDescent="0.3">
      <c r="A5" s="2">
        <v>4</v>
      </c>
      <c r="B5" s="2">
        <v>5015</v>
      </c>
      <c r="C5" s="2" t="s">
        <v>6</v>
      </c>
      <c r="D5" s="3" t="s">
        <v>18</v>
      </c>
      <c r="E5" s="2">
        <f>IFERROR(VLOOKUP(D5,fees!B:C,2,FALSE),"NOT FOUND")</f>
        <v>25000</v>
      </c>
      <c r="F5" s="3">
        <f t="shared" si="0"/>
        <v>25000</v>
      </c>
      <c r="G5" s="3">
        <f>SUMIF(paid!C:C,Sheet1!B5,paid!F:F)</f>
        <v>25000</v>
      </c>
    </row>
    <row r="6" spans="1:8" ht="15.6" x14ac:dyDescent="0.3">
      <c r="A6" s="2">
        <v>5</v>
      </c>
      <c r="B6" s="2">
        <v>5016</v>
      </c>
      <c r="C6" s="2" t="s">
        <v>7</v>
      </c>
      <c r="D6" s="3" t="s">
        <v>33</v>
      </c>
      <c r="E6" s="2">
        <f>IFERROR(VLOOKUP(D6,fees!B:C,2,FALSE),"NOT FOUND")</f>
        <v>10000</v>
      </c>
      <c r="F6" s="3">
        <f t="shared" si="0"/>
        <v>10000</v>
      </c>
      <c r="G6" s="3">
        <f>SUMIF(paid!C:C,Sheet1!B6,paid!F:F)</f>
        <v>10000</v>
      </c>
    </row>
    <row r="7" spans="1:8" ht="15.6" x14ac:dyDescent="0.3">
      <c r="A7" s="2">
        <v>6</v>
      </c>
      <c r="B7" s="2">
        <v>5017</v>
      </c>
      <c r="C7" s="2" t="s">
        <v>8</v>
      </c>
      <c r="D7" s="3" t="s">
        <v>22</v>
      </c>
      <c r="E7" s="2">
        <f>IFERROR(VLOOKUP(D7,fees!B:C,2,FALSE),"NOT FOUND")</f>
        <v>10000</v>
      </c>
      <c r="F7" s="3">
        <f t="shared" si="0"/>
        <v>10000</v>
      </c>
      <c r="G7" s="3">
        <f>SUMIF(paid!C:C,Sheet1!B7,paid!F:F)</f>
        <v>0</v>
      </c>
    </row>
    <row r="8" spans="1:8" ht="15.6" x14ac:dyDescent="0.3">
      <c r="A8" s="2">
        <v>7</v>
      </c>
      <c r="B8" s="2">
        <v>5018</v>
      </c>
      <c r="C8" s="2" t="s">
        <v>9</v>
      </c>
      <c r="D8" s="2" t="s">
        <v>30</v>
      </c>
      <c r="E8" s="2">
        <f>IFERROR(VLOOKUP(D8,fees!B:C,2,FALSE),"NOT FOUND")</f>
        <v>20000</v>
      </c>
      <c r="F8" s="3">
        <f t="shared" si="0"/>
        <v>20000</v>
      </c>
      <c r="G8" s="3">
        <f>SUMIF(paid!C:C,Sheet1!B8,paid!F:F)</f>
        <v>0</v>
      </c>
    </row>
    <row r="9" spans="1:8" ht="15.6" x14ac:dyDescent="0.3">
      <c r="A9" s="2">
        <v>8</v>
      </c>
      <c r="B9" s="2">
        <v>5019</v>
      </c>
      <c r="C9" s="2" t="s">
        <v>10</v>
      </c>
      <c r="D9" s="3" t="s">
        <v>18</v>
      </c>
      <c r="E9" s="2">
        <f>IFERROR(VLOOKUP(D9,fees!B:C,2,FALSE),"NOT FOUND")</f>
        <v>25000</v>
      </c>
      <c r="F9" s="3">
        <f t="shared" si="0"/>
        <v>25000</v>
      </c>
      <c r="G9" s="3">
        <f>SUMIF(paid!C:C,Sheet1!B9,paid!F:F)</f>
        <v>15000</v>
      </c>
    </row>
    <row r="10" spans="1:8" ht="15.6" x14ac:dyDescent="0.3">
      <c r="A10" s="2">
        <v>9</v>
      </c>
      <c r="B10" s="2">
        <v>5020</v>
      </c>
      <c r="C10" s="2" t="s">
        <v>11</v>
      </c>
      <c r="D10" s="3" t="s">
        <v>18</v>
      </c>
      <c r="E10" s="2">
        <f>IFERROR(VLOOKUP(D10,fees!B:C,2,FALSE),"NOT FOUND")</f>
        <v>25000</v>
      </c>
      <c r="F10" s="3">
        <f t="shared" si="0"/>
        <v>25000</v>
      </c>
      <c r="G10" s="3">
        <f>SUMIF(paid!C:C,Sheet1!B10,paid!F:F)</f>
        <v>11000</v>
      </c>
    </row>
    <row r="11" spans="1:8" ht="15.6" x14ac:dyDescent="0.3">
      <c r="A11" s="2">
        <v>10</v>
      </c>
      <c r="B11" s="2">
        <v>5021</v>
      </c>
      <c r="C11" s="2" t="s">
        <v>12</v>
      </c>
      <c r="D11" s="3" t="s">
        <v>30</v>
      </c>
      <c r="E11" s="2">
        <f>IFERROR(VLOOKUP(D11,fees!B:C,2,FALSE),"NOT FOUND")</f>
        <v>20000</v>
      </c>
      <c r="F11" s="3">
        <f t="shared" si="0"/>
        <v>20000</v>
      </c>
      <c r="G11" s="3">
        <f>SUMIF(paid!C:C,Sheet1!B11,paid!F:F)</f>
        <v>0</v>
      </c>
    </row>
    <row r="12" spans="1:8" ht="15.6" x14ac:dyDescent="0.3">
      <c r="A12" s="2">
        <v>11</v>
      </c>
      <c r="B12" s="2">
        <v>5022</v>
      </c>
      <c r="C12" s="2" t="s">
        <v>13</v>
      </c>
      <c r="D12" s="3" t="s">
        <v>31</v>
      </c>
      <c r="E12" s="2">
        <f>IFERROR(VLOOKUP(D12,fees!B:C,2,FALSE),"NOT FOUND")</f>
        <v>16000</v>
      </c>
      <c r="F12" s="3">
        <f t="shared" si="0"/>
        <v>16000</v>
      </c>
      <c r="G12" s="3">
        <f>SUMIF(paid!C:C,Sheet1!B12,paid!F:F)</f>
        <v>0</v>
      </c>
    </row>
    <row r="13" spans="1:8" ht="15.6" x14ac:dyDescent="0.3">
      <c r="A13" s="2">
        <v>12</v>
      </c>
      <c r="B13" s="2">
        <v>5023</v>
      </c>
      <c r="C13" s="2" t="s">
        <v>14</v>
      </c>
      <c r="D13" s="3" t="s">
        <v>18</v>
      </c>
      <c r="E13" s="2">
        <f>IFERROR(VLOOKUP(D13,fees!B:C,2,FALSE),"NOT FOUND")</f>
        <v>25000</v>
      </c>
      <c r="F13" s="3">
        <f t="shared" si="0"/>
        <v>25000</v>
      </c>
      <c r="G13" s="3">
        <f>SUMIF(paid!C:C,Sheet1!B13,paid!F:F)</f>
        <v>0</v>
      </c>
    </row>
    <row r="14" spans="1:8" ht="15.6" x14ac:dyDescent="0.3">
      <c r="A14" s="2">
        <v>13</v>
      </c>
      <c r="B14" s="2">
        <v>5024</v>
      </c>
      <c r="C14" s="2" t="s">
        <v>15</v>
      </c>
      <c r="D14" s="3" t="s">
        <v>19</v>
      </c>
      <c r="E14" s="2">
        <f>IFERROR(VLOOKUP(D14,fees!B:C,2,FALSE),"NOT FOUND")</f>
        <v>45000</v>
      </c>
      <c r="F14" s="3">
        <f t="shared" si="0"/>
        <v>45000</v>
      </c>
      <c r="G14" s="3">
        <f>SUMIF(paid!C:C,Sheet1!B14,paid!F:F)</f>
        <v>20000</v>
      </c>
    </row>
    <row r="18" spans="6:6" x14ac:dyDescent="0.3">
      <c r="F18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9C1E-6B86-4F93-851B-C876E543FC1C}">
  <dimension ref="A1:K23"/>
  <sheetViews>
    <sheetView tabSelected="1" workbookViewId="0">
      <selection activeCell="F3" sqref="F3"/>
    </sheetView>
  </sheetViews>
  <sheetFormatPr defaultRowHeight="14.4" x14ac:dyDescent="0.3"/>
  <cols>
    <col min="2" max="2" width="10.33203125" bestFit="1" customWidth="1"/>
    <col min="4" max="4" width="9" customWidth="1"/>
    <col min="5" max="6" width="13.33203125" bestFit="1" customWidth="1"/>
    <col min="10" max="10" width="18.109375" bestFit="1" customWidth="1"/>
  </cols>
  <sheetData>
    <row r="1" spans="1:11" x14ac:dyDescent="0.3">
      <c r="A1" s="9" t="s">
        <v>41</v>
      </c>
      <c r="B1" s="9" t="s">
        <v>42</v>
      </c>
      <c r="C1" s="9" t="s">
        <v>1</v>
      </c>
      <c r="D1" s="9" t="s">
        <v>44</v>
      </c>
      <c r="E1" s="9" t="s">
        <v>16</v>
      </c>
      <c r="F1" s="9" t="s">
        <v>43</v>
      </c>
    </row>
    <row r="2" spans="1:11" x14ac:dyDescent="0.3">
      <c r="A2" s="3" t="s">
        <v>45</v>
      </c>
      <c r="B2" s="10">
        <v>45973</v>
      </c>
      <c r="C2" s="3">
        <v>5012</v>
      </c>
      <c r="D2" s="3" t="str">
        <f>VLOOKUP(C2,Sheet1!B:D,2,FALSE)</f>
        <v xml:space="preserve">jack </v>
      </c>
      <c r="E2" s="3" t="str">
        <f>VLOOKUP(C2,Sheet1!B:D,3,FALSE)</f>
        <v>UI/UX</v>
      </c>
      <c r="F2" s="3">
        <v>10000</v>
      </c>
      <c r="J2" t="s">
        <v>18</v>
      </c>
      <c r="K2">
        <v>25000</v>
      </c>
    </row>
    <row r="3" spans="1:11" x14ac:dyDescent="0.3">
      <c r="A3" s="3" t="s">
        <v>46</v>
      </c>
      <c r="B3" s="10">
        <v>45974</v>
      </c>
      <c r="C3" s="3">
        <v>5015</v>
      </c>
      <c r="D3" s="3" t="str">
        <f>VLOOKUP(C3,Sheet1!B:D,2,FALSE)</f>
        <v>barry</v>
      </c>
      <c r="E3" s="3" t="str">
        <f>VLOOKUP(C3,Sheet1!B:D,3,FALSE)</f>
        <v>DATA ANALYST</v>
      </c>
      <c r="F3" s="3">
        <v>25000</v>
      </c>
      <c r="J3" t="s">
        <v>19</v>
      </c>
      <c r="K3">
        <v>45000</v>
      </c>
    </row>
    <row r="4" spans="1:11" x14ac:dyDescent="0.3">
      <c r="A4" s="3" t="s">
        <v>47</v>
      </c>
      <c r="B4" s="10">
        <v>45975</v>
      </c>
      <c r="C4" s="3">
        <v>5016</v>
      </c>
      <c r="D4" s="3" t="str">
        <f>VLOOKUP(C4,Sheet1!B:D,2,FALSE)</f>
        <v>willaim</v>
      </c>
      <c r="E4" s="3" t="str">
        <f>VLOOKUP(C4,Sheet1!B:D,3,FALSE)</f>
        <v>c</v>
      </c>
      <c r="F4" s="3">
        <v>10000</v>
      </c>
      <c r="J4" t="s">
        <v>20</v>
      </c>
      <c r="K4">
        <v>35000</v>
      </c>
    </row>
    <row r="5" spans="1:11" x14ac:dyDescent="0.3">
      <c r="A5" s="3" t="s">
        <v>48</v>
      </c>
      <c r="B5" s="10">
        <v>45976</v>
      </c>
      <c r="C5" s="3">
        <v>5019</v>
      </c>
      <c r="D5" s="3" t="str">
        <f>VLOOKUP(C5,Sheet1!B:D,2,FALSE)</f>
        <v>bart</v>
      </c>
      <c r="E5" s="3" t="str">
        <f>VLOOKUP(C5,Sheet1!B:D,3,FALSE)</f>
        <v>DATA ANALYST</v>
      </c>
      <c r="F5" s="3">
        <v>15000</v>
      </c>
      <c r="J5" t="s">
        <v>21</v>
      </c>
      <c r="K5">
        <v>18500</v>
      </c>
    </row>
    <row r="6" spans="1:11" x14ac:dyDescent="0.3">
      <c r="A6" s="3" t="s">
        <v>49</v>
      </c>
      <c r="B6" s="10">
        <v>45977</v>
      </c>
      <c r="C6" s="3">
        <v>5020</v>
      </c>
      <c r="D6" s="3" t="str">
        <f>VLOOKUP(C6,Sheet1!B:D,2,FALSE)</f>
        <v>kane</v>
      </c>
      <c r="E6" s="3" t="str">
        <f>VLOOKUP(C6,Sheet1!B:D,3,FALSE)</f>
        <v>DATA ANALYST</v>
      </c>
      <c r="F6" s="3">
        <v>1000</v>
      </c>
      <c r="J6" t="s">
        <v>22</v>
      </c>
      <c r="K6">
        <v>10000</v>
      </c>
    </row>
    <row r="7" spans="1:11" x14ac:dyDescent="0.3">
      <c r="A7" s="3" t="s">
        <v>50</v>
      </c>
      <c r="B7" s="10">
        <v>45978</v>
      </c>
      <c r="C7" s="3">
        <v>5024</v>
      </c>
      <c r="D7" s="3" t="str">
        <f>VLOOKUP(C7,Sheet1!B:D,2,FALSE)</f>
        <v>senthil</v>
      </c>
      <c r="E7" s="3" t="str">
        <f>VLOOKUP(C7,Sheet1!B:D,3,FALSE)</f>
        <v>FULL STACK</v>
      </c>
      <c r="F7" s="3">
        <v>15000</v>
      </c>
      <c r="J7" t="s">
        <v>25</v>
      </c>
      <c r="K7">
        <v>9000</v>
      </c>
    </row>
    <row r="8" spans="1:11" x14ac:dyDescent="0.3">
      <c r="A8" s="3" t="s">
        <v>51</v>
      </c>
      <c r="B8" s="10">
        <v>45979</v>
      </c>
      <c r="C8" s="3">
        <v>5013</v>
      </c>
      <c r="D8" s="3" t="str">
        <f>VLOOKUP(C8,Sheet1!B:D,2,FALSE)</f>
        <v>jame</v>
      </c>
      <c r="E8" s="3" t="str">
        <f>VLOOKUP(C8,Sheet1!B:D,3,FALSE)</f>
        <v>PYTHON</v>
      </c>
      <c r="F8" s="3">
        <v>9000</v>
      </c>
      <c r="J8" t="s">
        <v>26</v>
      </c>
      <c r="K8">
        <v>15000</v>
      </c>
    </row>
    <row r="9" spans="1:11" x14ac:dyDescent="0.3">
      <c r="A9" s="3" t="s">
        <v>52</v>
      </c>
      <c r="B9" s="10">
        <v>45980</v>
      </c>
      <c r="C9" s="3">
        <v>5014</v>
      </c>
      <c r="D9" s="3" t="str">
        <f>VLOOKUP(C9,Sheet1!B:D,2,FALSE)</f>
        <v>oliver</v>
      </c>
      <c r="E9" s="3" t="str">
        <f>VLOOKUP(C9,Sheet1!B:D,3,FALSE)</f>
        <v>EXCEL</v>
      </c>
      <c r="F9" s="3">
        <v>5000</v>
      </c>
      <c r="J9" t="s">
        <v>27</v>
      </c>
      <c r="K9">
        <v>11000</v>
      </c>
    </row>
    <row r="10" spans="1:11" x14ac:dyDescent="0.3">
      <c r="A10" s="3" t="s">
        <v>53</v>
      </c>
      <c r="B10" s="10">
        <v>45973</v>
      </c>
      <c r="C10" s="3">
        <v>5012</v>
      </c>
      <c r="D10" s="3" t="str">
        <f>VLOOKUP(C10,Sheet1!B:D,2,FALSE)</f>
        <v xml:space="preserve">jack </v>
      </c>
      <c r="E10" s="3" t="str">
        <f>VLOOKUP(C10,Sheet1!B:D,3,FALSE)</f>
        <v>UI/UX</v>
      </c>
      <c r="F10" s="3">
        <v>10000</v>
      </c>
      <c r="J10" t="s">
        <v>28</v>
      </c>
      <c r="K10">
        <v>15000</v>
      </c>
    </row>
    <row r="11" spans="1:11" x14ac:dyDescent="0.3">
      <c r="A11" s="3" t="s">
        <v>54</v>
      </c>
      <c r="B11" s="10">
        <v>45974</v>
      </c>
      <c r="C11" s="3">
        <v>5020</v>
      </c>
      <c r="D11" s="3" t="str">
        <f>VLOOKUP(C11,Sheet1!B:D,2,FALSE)</f>
        <v>kane</v>
      </c>
      <c r="E11" s="3" t="str">
        <f>VLOOKUP(C11,Sheet1!B:D,3,FALSE)</f>
        <v>DATA ANALYST</v>
      </c>
      <c r="F11" s="3">
        <v>10000</v>
      </c>
      <c r="J11" t="s">
        <v>29</v>
      </c>
      <c r="K11">
        <v>10000</v>
      </c>
    </row>
    <row r="12" spans="1:11" x14ac:dyDescent="0.3">
      <c r="A12" s="3" t="s">
        <v>55</v>
      </c>
      <c r="B12" s="10">
        <v>45975</v>
      </c>
      <c r="C12" s="3">
        <v>5014</v>
      </c>
      <c r="D12" s="3" t="str">
        <f>VLOOKUP(C12,Sheet1!B:D,2,FALSE)</f>
        <v>oliver</v>
      </c>
      <c r="E12" s="3" t="str">
        <f>VLOOKUP(C12,Sheet1!B:D,3,FALSE)</f>
        <v>EXCEL</v>
      </c>
      <c r="F12" s="3">
        <v>5000</v>
      </c>
      <c r="J12" t="s">
        <v>30</v>
      </c>
      <c r="K12">
        <v>20000</v>
      </c>
    </row>
    <row r="13" spans="1:11" x14ac:dyDescent="0.3">
      <c r="A13" s="3" t="s">
        <v>56</v>
      </c>
      <c r="B13" s="10">
        <v>45976</v>
      </c>
      <c r="C13" s="3">
        <v>5024</v>
      </c>
      <c r="D13" s="3" t="str">
        <f>VLOOKUP(C13,Sheet1!B:D,2,FALSE)</f>
        <v>senthil</v>
      </c>
      <c r="E13" s="3" t="str">
        <f>VLOOKUP(C13,Sheet1!B:D,3,FALSE)</f>
        <v>FULL STACK</v>
      </c>
      <c r="F13" s="3">
        <v>5000</v>
      </c>
      <c r="J13" t="s">
        <v>31</v>
      </c>
      <c r="K13">
        <v>16000</v>
      </c>
    </row>
    <row r="14" spans="1:11" x14ac:dyDescent="0.3">
      <c r="A14" s="3" t="s">
        <v>58</v>
      </c>
      <c r="B14" s="10">
        <v>45973</v>
      </c>
      <c r="C14" s="3">
        <v>5012</v>
      </c>
      <c r="D14" s="3" t="str">
        <f>VLOOKUP(C14,Sheet1!B:D,2,FALSE)</f>
        <v xml:space="preserve">jack </v>
      </c>
      <c r="E14" s="3" t="str">
        <f>VLOOKUP(C14,Sheet1!B:D,3,FALSE)</f>
        <v>UI/UX</v>
      </c>
      <c r="F14" s="3">
        <v>15000</v>
      </c>
      <c r="J14" t="s">
        <v>32</v>
      </c>
      <c r="K14">
        <v>19000</v>
      </c>
    </row>
    <row r="15" spans="1:11" x14ac:dyDescent="0.3">
      <c r="A15" s="3" t="s">
        <v>59</v>
      </c>
      <c r="B15" s="10">
        <v>45974</v>
      </c>
      <c r="C15" s="3"/>
      <c r="D15" s="3" t="e">
        <f>VLOOKUP(C15,Sheet1!B:D,2,FALSE)</f>
        <v>#N/A</v>
      </c>
      <c r="E15" s="3" t="e">
        <f>VLOOKUP(C15,Sheet1!B:D,3,FALSE)</f>
        <v>#N/A</v>
      </c>
      <c r="F15" s="3"/>
      <c r="J15" t="s">
        <v>33</v>
      </c>
      <c r="K15">
        <v>10000</v>
      </c>
    </row>
    <row r="16" spans="1:11" x14ac:dyDescent="0.3">
      <c r="A16" s="3" t="s">
        <v>60</v>
      </c>
      <c r="B16" s="10">
        <v>45978</v>
      </c>
      <c r="C16" s="3"/>
      <c r="D16" s="3" t="e">
        <f>VLOOKUP(C16,Sheet1!B:D,2,FALSE)</f>
        <v>#N/A</v>
      </c>
      <c r="E16" s="3" t="e">
        <f>VLOOKUP(C16,Sheet1!B:D,3,FALSE)</f>
        <v>#N/A</v>
      </c>
      <c r="F16" s="3"/>
    </row>
    <row r="17" spans="1:6" x14ac:dyDescent="0.3">
      <c r="A17" s="3" t="s">
        <v>61</v>
      </c>
      <c r="B17" s="10">
        <v>45979</v>
      </c>
      <c r="C17" s="3"/>
      <c r="D17" s="3" t="e">
        <f>VLOOKUP(C17,Sheet1!B:D,2,FALSE)</f>
        <v>#N/A</v>
      </c>
      <c r="E17" s="3" t="e">
        <f>VLOOKUP(C17,Sheet1!B:D,3,FALSE)</f>
        <v>#N/A</v>
      </c>
      <c r="F17" s="3"/>
    </row>
    <row r="18" spans="1:6" x14ac:dyDescent="0.3">
      <c r="A18" s="3" t="s">
        <v>62</v>
      </c>
      <c r="B18" s="10">
        <v>45980</v>
      </c>
      <c r="C18" s="3"/>
      <c r="D18" s="3" t="e">
        <f>VLOOKUP(C18,Sheet1!B:D,2,FALSE)</f>
        <v>#N/A</v>
      </c>
      <c r="E18" s="3" t="e">
        <f>VLOOKUP(C18,Sheet1!B:D,3,FALSE)</f>
        <v>#N/A</v>
      </c>
      <c r="F18" s="3"/>
    </row>
    <row r="19" spans="1:6" x14ac:dyDescent="0.3">
      <c r="A19" s="3" t="s">
        <v>63</v>
      </c>
      <c r="B19" s="10">
        <v>45981</v>
      </c>
      <c r="C19" s="3"/>
      <c r="D19" s="3" t="e">
        <f>VLOOKUP(C19,Sheet1!B:D,2,FALSE)</f>
        <v>#N/A</v>
      </c>
      <c r="E19" s="3" t="e">
        <f>VLOOKUP(C19,Sheet1!B:D,3,FALSE)</f>
        <v>#N/A</v>
      </c>
      <c r="F19" s="3"/>
    </row>
    <row r="20" spans="1:6" x14ac:dyDescent="0.3">
      <c r="A20" s="3" t="s">
        <v>64</v>
      </c>
      <c r="B20" s="10">
        <v>45982</v>
      </c>
      <c r="C20" s="3"/>
      <c r="D20" s="3" t="e">
        <f>VLOOKUP(C20,Sheet1!B:D,2,FALSE)</f>
        <v>#N/A</v>
      </c>
      <c r="E20" s="3" t="e">
        <f>VLOOKUP(C20,Sheet1!B:D,3,FALSE)</f>
        <v>#N/A</v>
      </c>
      <c r="F20" s="3"/>
    </row>
    <row r="21" spans="1:6" x14ac:dyDescent="0.3">
      <c r="A21" s="3" t="s">
        <v>65</v>
      </c>
      <c r="B21" s="10">
        <v>45983</v>
      </c>
      <c r="C21" s="3"/>
      <c r="D21" s="3" t="e">
        <f>VLOOKUP(C21,Sheet1!B:D,2,FALSE)</f>
        <v>#N/A</v>
      </c>
      <c r="E21" s="3" t="e">
        <f>VLOOKUP(C21,Sheet1!B:D,3,FALSE)</f>
        <v>#N/A</v>
      </c>
      <c r="F21" s="3"/>
    </row>
    <row r="22" spans="1:6" x14ac:dyDescent="0.3">
      <c r="A22" s="3" t="s">
        <v>66</v>
      </c>
      <c r="B22" s="10">
        <v>45984</v>
      </c>
      <c r="C22" s="3"/>
      <c r="D22" s="3" t="e">
        <f>VLOOKUP(C22,Sheet1!B:D,2,FALSE)</f>
        <v>#N/A</v>
      </c>
      <c r="E22" s="3" t="e">
        <f>VLOOKUP(C22,Sheet1!B:D,3,FALSE)</f>
        <v>#N/A</v>
      </c>
      <c r="F22" s="3"/>
    </row>
    <row r="23" spans="1:6" x14ac:dyDescent="0.3">
      <c r="A23" s="3" t="s">
        <v>67</v>
      </c>
      <c r="B23" s="10">
        <v>45985</v>
      </c>
      <c r="C23" s="3"/>
      <c r="D23" s="3" t="e">
        <f>VLOOKUP(C23,Sheet1!B:D,2,FALSE)</f>
        <v>#N/A</v>
      </c>
      <c r="E23" s="3" t="e">
        <f>VLOOKUP(C23,Sheet1!B:D,3,FALSE)</f>
        <v>#N/A</v>
      </c>
      <c r="F23" s="3"/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1CC84-51A5-49F9-98E4-1A6AEA6229BE}">
  <dimension ref="B1:G15"/>
  <sheetViews>
    <sheetView workbookViewId="0">
      <selection activeCell="B1" sqref="B1:C15"/>
    </sheetView>
  </sheetViews>
  <sheetFormatPr defaultRowHeight="14.4" x14ac:dyDescent="0.3"/>
  <cols>
    <col min="2" max="2" width="18.109375" bestFit="1" customWidth="1"/>
    <col min="7" max="7" width="70.77734375" bestFit="1" customWidth="1"/>
  </cols>
  <sheetData>
    <row r="1" spans="2:7" ht="18" x14ac:dyDescent="0.35">
      <c r="B1" s="1" t="s">
        <v>23</v>
      </c>
      <c r="C1" s="1" t="s">
        <v>24</v>
      </c>
    </row>
    <row r="2" spans="2:7" x14ac:dyDescent="0.3">
      <c r="B2" t="s">
        <v>18</v>
      </c>
      <c r="C2">
        <v>25000</v>
      </c>
      <c r="G2" t="s">
        <v>36</v>
      </c>
    </row>
    <row r="3" spans="2:7" x14ac:dyDescent="0.3">
      <c r="B3" t="s">
        <v>19</v>
      </c>
      <c r="C3">
        <v>45000</v>
      </c>
      <c r="G3" t="s">
        <v>37</v>
      </c>
    </row>
    <row r="4" spans="2:7" x14ac:dyDescent="0.3">
      <c r="B4" t="s">
        <v>20</v>
      </c>
      <c r="C4">
        <v>35000</v>
      </c>
    </row>
    <row r="5" spans="2:7" x14ac:dyDescent="0.3">
      <c r="B5" t="s">
        <v>21</v>
      </c>
      <c r="C5">
        <v>18500</v>
      </c>
      <c r="G5" t="s">
        <v>35</v>
      </c>
    </row>
    <row r="6" spans="2:7" x14ac:dyDescent="0.3">
      <c r="B6" t="s">
        <v>22</v>
      </c>
      <c r="C6">
        <v>10000</v>
      </c>
      <c r="G6" s="8" t="s">
        <v>39</v>
      </c>
    </row>
    <row r="7" spans="2:7" x14ac:dyDescent="0.3">
      <c r="B7" t="s">
        <v>25</v>
      </c>
      <c r="C7">
        <v>9000</v>
      </c>
      <c r="G7" t="s">
        <v>38</v>
      </c>
    </row>
    <row r="8" spans="2:7" x14ac:dyDescent="0.3">
      <c r="B8" t="s">
        <v>26</v>
      </c>
      <c r="C8">
        <v>15000</v>
      </c>
    </row>
    <row r="9" spans="2:7" x14ac:dyDescent="0.3">
      <c r="B9" t="s">
        <v>27</v>
      </c>
      <c r="C9">
        <v>11000</v>
      </c>
    </row>
    <row r="10" spans="2:7" x14ac:dyDescent="0.3">
      <c r="B10" t="s">
        <v>28</v>
      </c>
      <c r="C10">
        <v>15000</v>
      </c>
    </row>
    <row r="11" spans="2:7" x14ac:dyDescent="0.3">
      <c r="B11" t="s">
        <v>29</v>
      </c>
      <c r="C11">
        <v>10000</v>
      </c>
    </row>
    <row r="12" spans="2:7" x14ac:dyDescent="0.3">
      <c r="B12" t="s">
        <v>30</v>
      </c>
      <c r="C12">
        <v>20000</v>
      </c>
    </row>
    <row r="13" spans="2:7" x14ac:dyDescent="0.3">
      <c r="B13" t="s">
        <v>31</v>
      </c>
      <c r="C13">
        <v>16000</v>
      </c>
    </row>
    <row r="14" spans="2:7" x14ac:dyDescent="0.3">
      <c r="B14" t="s">
        <v>32</v>
      </c>
      <c r="C14">
        <v>19000</v>
      </c>
    </row>
    <row r="15" spans="2:7" x14ac:dyDescent="0.3">
      <c r="B15" t="s">
        <v>33</v>
      </c>
      <c r="C15">
        <v>10000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paid</vt:lpstr>
      <vt:lpstr>fees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Parthiban sanjai</dc:creator>
  <cp:lastModifiedBy>Parthiban sanjai</cp:lastModifiedBy>
  <dcterms:created xsi:type="dcterms:W3CDTF">2025-12-04T09:10:13Z</dcterms:created>
  <dcterms:modified xsi:type="dcterms:W3CDTF">2025-12-05T09:46:53Z</dcterms:modified>
</cp:coreProperties>
</file>