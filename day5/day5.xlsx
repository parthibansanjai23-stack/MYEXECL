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cb00cd48f2e822/Desktop/JDA/day5/"/>
    </mc:Choice>
  </mc:AlternateContent>
  <xr:revisionPtr revIDLastSave="303" documentId="8_{81E88FF3-512E-41E3-B517-9EBAB61705BE}" xr6:coauthVersionLast="47" xr6:coauthVersionMax="47" xr10:uidLastSave="{E5D056C0-EC82-43FC-9022-D37B3EAFAB0E}"/>
  <bookViews>
    <workbookView xWindow="-108" yWindow="-108" windowWidth="23256" windowHeight="12456" activeTab="1" xr2:uid="{AE26F785-8B3C-4D1E-AAA3-3560134761D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3" i="3" l="1"/>
  <c r="M13" i="3"/>
  <c r="L13" i="3"/>
  <c r="K13" i="3"/>
  <c r="J13" i="3"/>
  <c r="I13" i="3"/>
  <c r="H13" i="3"/>
  <c r="G13" i="3"/>
  <c r="F13" i="3"/>
  <c r="E13" i="3"/>
  <c r="D13" i="3"/>
  <c r="C13" i="3"/>
  <c r="B13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N9" i="3"/>
  <c r="M9" i="3"/>
  <c r="L9" i="3"/>
  <c r="K9" i="3"/>
  <c r="J9" i="3"/>
  <c r="I9" i="3"/>
  <c r="H9" i="3"/>
  <c r="G9" i="3"/>
  <c r="F9" i="3"/>
  <c r="E9" i="3"/>
  <c r="D9" i="3"/>
  <c r="C9" i="3"/>
  <c r="B9" i="3"/>
  <c r="N8" i="3"/>
  <c r="M8" i="3"/>
  <c r="L8" i="3"/>
  <c r="K8" i="3"/>
  <c r="J8" i="3"/>
  <c r="I8" i="3"/>
  <c r="H8" i="3"/>
  <c r="G8" i="3"/>
  <c r="F8" i="3"/>
  <c r="E8" i="3"/>
  <c r="D8" i="3"/>
  <c r="C8" i="3"/>
  <c r="B8" i="3"/>
  <c r="B3" i="1"/>
  <c r="H7" i="2"/>
  <c r="H8" i="2"/>
  <c r="H9" i="2"/>
  <c r="H10" i="2"/>
  <c r="H11" i="2"/>
  <c r="H12" i="2"/>
  <c r="H13" i="2"/>
  <c r="H14" i="2"/>
  <c r="H15" i="2"/>
  <c r="H16" i="2"/>
  <c r="H17" i="2"/>
  <c r="H18" i="2"/>
  <c r="H6" i="2"/>
  <c r="F7" i="2"/>
  <c r="F8" i="2"/>
  <c r="F9" i="2"/>
  <c r="F10" i="2"/>
  <c r="F11" i="2"/>
  <c r="F12" i="2"/>
  <c r="F13" i="2"/>
  <c r="F14" i="2"/>
  <c r="F15" i="2"/>
  <c r="F16" i="2"/>
  <c r="F17" i="2"/>
  <c r="F18" i="2"/>
  <c r="I7" i="2"/>
  <c r="I8" i="2"/>
  <c r="I9" i="2"/>
  <c r="I10" i="2"/>
  <c r="I11" i="2"/>
  <c r="I12" i="2"/>
  <c r="I13" i="2"/>
  <c r="I14" i="2"/>
  <c r="I15" i="2"/>
  <c r="I16" i="2"/>
  <c r="I17" i="2"/>
  <c r="I18" i="2"/>
  <c r="I6" i="2"/>
  <c r="F6" i="2"/>
  <c r="E7" i="2"/>
  <c r="E8" i="2"/>
  <c r="E9" i="2"/>
  <c r="E10" i="2"/>
  <c r="E11" i="2"/>
  <c r="E12" i="2"/>
  <c r="E13" i="2"/>
  <c r="E14" i="2"/>
  <c r="E15" i="2"/>
  <c r="E16" i="2"/>
  <c r="E17" i="2"/>
  <c r="E18" i="2"/>
  <c r="E6" i="2"/>
  <c r="D7" i="2"/>
  <c r="D8" i="2"/>
  <c r="D9" i="2"/>
  <c r="D10" i="2"/>
  <c r="D11" i="2"/>
  <c r="D12" i="2"/>
  <c r="D13" i="2"/>
  <c r="D14" i="2"/>
  <c r="D15" i="2"/>
  <c r="D16" i="2"/>
  <c r="D17" i="2"/>
  <c r="D18" i="2"/>
  <c r="D6" i="2"/>
  <c r="E16" i="3" l="1"/>
  <c r="E17" i="3" s="1"/>
  <c r="D16" i="3"/>
  <c r="D17" i="3" s="1"/>
  <c r="F16" i="3"/>
  <c r="F17" i="3" s="1"/>
  <c r="L16" i="3"/>
  <c r="L17" i="3" s="1"/>
  <c r="H16" i="3"/>
  <c r="H17" i="3" s="1"/>
  <c r="N16" i="3"/>
  <c r="N17" i="3" s="1"/>
  <c r="B16" i="3"/>
  <c r="B17" i="3" s="1"/>
  <c r="G16" i="3"/>
  <c r="G17" i="3" s="1"/>
  <c r="I20" i="3" s="1"/>
  <c r="I16" i="3"/>
  <c r="I17" i="3" s="1"/>
  <c r="J16" i="3"/>
  <c r="J17" i="3" s="1"/>
  <c r="K16" i="3"/>
  <c r="K17" i="3" s="1"/>
  <c r="M16" i="3"/>
  <c r="M17" i="3" s="1"/>
  <c r="C16" i="3"/>
  <c r="C17" i="3" s="1"/>
  <c r="L16" i="2"/>
  <c r="M16" i="2" s="1"/>
  <c r="L7" i="2"/>
  <c r="M7" i="2" s="1"/>
  <c r="H22" i="2" s="1"/>
  <c r="L12" i="2"/>
  <c r="M12" i="2" s="1"/>
  <c r="L17" i="2"/>
  <c r="M17" i="2" s="1"/>
  <c r="L8" i="2"/>
  <c r="M8" i="2" s="1"/>
  <c r="L13" i="2"/>
  <c r="M13" i="2" s="1"/>
  <c r="L6" i="2"/>
  <c r="M6" i="2" s="1"/>
  <c r="L18" i="2"/>
  <c r="M18" i="2" s="1"/>
  <c r="L9" i="2"/>
  <c r="M9" i="2" s="1"/>
  <c r="L14" i="2"/>
  <c r="M14" i="2" s="1"/>
  <c r="L10" i="2"/>
  <c r="M10" i="2" s="1"/>
  <c r="L11" i="2"/>
  <c r="M11" i="2" s="1"/>
  <c r="L15" i="2"/>
  <c r="M15" i="2" s="1"/>
  <c r="B5" i="1"/>
</calcChain>
</file>

<file path=xl/sharedStrings.xml><?xml version="1.0" encoding="utf-8"?>
<sst xmlns="http://schemas.openxmlformats.org/spreadsheetml/2006/main" count="83" uniqueCount="51">
  <si>
    <t>pomagarnate</t>
  </si>
  <si>
    <t>jucie name</t>
  </si>
  <si>
    <t>price</t>
  </si>
  <si>
    <t>watermalon</t>
  </si>
  <si>
    <t>lemon</t>
  </si>
  <si>
    <t>apple</t>
  </si>
  <si>
    <t>orange</t>
  </si>
  <si>
    <t>sugarcane</t>
  </si>
  <si>
    <t>Price</t>
  </si>
  <si>
    <t>benefits</t>
  </si>
  <si>
    <t>no doctor</t>
  </si>
  <si>
    <t>blood level increse</t>
  </si>
  <si>
    <t>heat reduce</t>
  </si>
  <si>
    <t>cooling</t>
  </si>
  <si>
    <t>glusoce increse</t>
  </si>
  <si>
    <t>blood increase</t>
  </si>
  <si>
    <t>hp level increse</t>
  </si>
  <si>
    <t>graphs</t>
  </si>
  <si>
    <t xml:space="preserve">ENO </t>
  </si>
  <si>
    <t>ENAME</t>
  </si>
  <si>
    <t xml:space="preserve"> MA 5%</t>
  </si>
  <si>
    <t>HRA 19%</t>
  </si>
  <si>
    <t>TA 6%</t>
  </si>
  <si>
    <t>OT</t>
  </si>
  <si>
    <t>LOAN</t>
  </si>
  <si>
    <t xml:space="preserve">GROSS </t>
  </si>
  <si>
    <t>NET SALARY</t>
  </si>
  <si>
    <t>BASIC SALARY</t>
  </si>
  <si>
    <t>Gross salary</t>
  </si>
  <si>
    <t>net salary</t>
  </si>
  <si>
    <t>gross-pf-loan-esi</t>
  </si>
  <si>
    <t xml:space="preserve">jack </t>
  </si>
  <si>
    <t>jame</t>
  </si>
  <si>
    <t>oliver</t>
  </si>
  <si>
    <t>barry</t>
  </si>
  <si>
    <t>willaim</t>
  </si>
  <si>
    <t>sam</t>
  </si>
  <si>
    <t>jessi</t>
  </si>
  <si>
    <t>bart</t>
  </si>
  <si>
    <t>kane</t>
  </si>
  <si>
    <t>will</t>
  </si>
  <si>
    <t>kanna</t>
  </si>
  <si>
    <t xml:space="preserve">guna </t>
  </si>
  <si>
    <t>senthil</t>
  </si>
  <si>
    <t>LOP</t>
  </si>
  <si>
    <t>ESI 1%</t>
  </si>
  <si>
    <t>PF 12%</t>
  </si>
  <si>
    <t>bs+ma+ta+hra+ot-LOP-LOAN-ESI</t>
  </si>
  <si>
    <t>E.NO</t>
  </si>
  <si>
    <t>VLOOHUP</t>
  </si>
  <si>
    <t>SALARY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</si>
</sst>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4" borderId="1" xfId="0" applyFill="1" applyBorder="1"/>
    <xf numFmtId="0" fontId="2" fillId="0" borderId="1" xfId="0" applyFont="1" applyBorder="1"/>
    <xf numFmtId="0" fontId="3" fillId="0" borderId="1" xfId="0" applyFont="1" applyBorder="1"/>
    <xf numFmtId="0" fontId="3" fillId="4" borderId="1" xfId="0" applyFont="1" applyFill="1" applyBorder="1"/>
    <xf numFmtId="0" fontId="3" fillId="3" borderId="1" xfId="0" applyFont="1" applyFill="1" applyBorder="1"/>
    <xf numFmtId="0" fontId="3" fillId="2" borderId="1" xfId="0" applyFont="1" applyFill="1" applyBorder="1"/>
    <xf numFmtId="0" fontId="1" fillId="4" borderId="1" xfId="0" applyFont="1" applyFill="1" applyBorder="1"/>
    <xf numFmtId="0" fontId="0" fillId="0" borderId="2" xfId="0" applyFill="1" applyBorder="1"/>
    <xf numFmtId="0" fontId="0" fillId="4" borderId="2" xfId="0" applyFill="1" applyBorder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Font="1"/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7DD4A-D6EB-4FCE-9A0A-CD16BE09B292}">
  <dimension ref="A1:L5"/>
  <sheetViews>
    <sheetView zoomScale="130" zoomScaleNormal="130" workbookViewId="0">
      <selection activeCell="B4" sqref="B4"/>
    </sheetView>
  </sheetViews>
  <sheetFormatPr defaultRowHeight="14.4" x14ac:dyDescent="0.3"/>
  <cols>
    <col min="1" max="1" width="11.109375" bestFit="1" customWidth="1"/>
    <col min="2" max="2" width="18.6640625" bestFit="1" customWidth="1"/>
    <col min="4" max="4" width="12.6640625" bestFit="1" customWidth="1"/>
    <col min="5" max="5" width="1.5546875" customWidth="1"/>
    <col min="6" max="6" width="9" bestFit="1" customWidth="1"/>
    <col min="7" max="7" width="16.6640625" bestFit="1" customWidth="1"/>
    <col min="8" max="8" width="10.33203125" bestFit="1" customWidth="1"/>
    <col min="9" max="9" width="14" bestFit="1" customWidth="1"/>
    <col min="10" max="10" width="13.21875" bestFit="1" customWidth="1"/>
    <col min="11" max="11" width="13.6640625" bestFit="1" customWidth="1"/>
    <col min="12" max="12" width="10.88671875" bestFit="1" customWidth="1"/>
  </cols>
  <sheetData>
    <row r="1" spans="1:12" ht="18" x14ac:dyDescent="0.35">
      <c r="A1" s="4" t="s">
        <v>1</v>
      </c>
      <c r="B1" s="7" t="s">
        <v>4</v>
      </c>
      <c r="D1" s="8" t="s">
        <v>1</v>
      </c>
      <c r="E1" s="1"/>
      <c r="F1" s="7" t="s">
        <v>5</v>
      </c>
      <c r="G1" s="7" t="s">
        <v>6</v>
      </c>
      <c r="H1" s="7" t="s">
        <v>7</v>
      </c>
      <c r="I1" s="7" t="s">
        <v>0</v>
      </c>
      <c r="J1" s="7" t="s">
        <v>17</v>
      </c>
      <c r="K1" s="7" t="s">
        <v>3</v>
      </c>
      <c r="L1" s="7" t="s">
        <v>4</v>
      </c>
    </row>
    <row r="2" spans="1:12" ht="18" x14ac:dyDescent="0.35">
      <c r="A2" s="3"/>
      <c r="B2" s="3"/>
      <c r="D2" s="8" t="s">
        <v>8</v>
      </c>
      <c r="E2" s="1"/>
      <c r="F2" s="1">
        <v>95</v>
      </c>
      <c r="G2" s="1">
        <v>75</v>
      </c>
      <c r="H2" s="1">
        <v>10</v>
      </c>
      <c r="I2" s="1">
        <v>80</v>
      </c>
      <c r="J2" s="1">
        <v>90</v>
      </c>
      <c r="K2" s="1">
        <v>55</v>
      </c>
      <c r="L2" s="1">
        <v>20</v>
      </c>
    </row>
    <row r="3" spans="1:12" ht="18" x14ac:dyDescent="0.35">
      <c r="A3" s="4" t="s">
        <v>2</v>
      </c>
      <c r="B3" s="6">
        <f>HLOOKUP(B1,E1:L2,2,FALSE)</f>
        <v>20</v>
      </c>
      <c r="D3" s="8" t="s">
        <v>9</v>
      </c>
      <c r="E3" s="1"/>
      <c r="F3" s="1" t="s">
        <v>10</v>
      </c>
      <c r="G3" s="1" t="s">
        <v>11</v>
      </c>
      <c r="H3" s="1" t="s">
        <v>13</v>
      </c>
      <c r="I3" s="1" t="s">
        <v>16</v>
      </c>
      <c r="J3" s="1" t="s">
        <v>15</v>
      </c>
      <c r="K3" s="1" t="s">
        <v>14</v>
      </c>
      <c r="L3" s="1" t="s">
        <v>12</v>
      </c>
    </row>
    <row r="4" spans="1:12" ht="15.6" x14ac:dyDescent="0.3">
      <c r="A4" s="4"/>
      <c r="B4" s="3"/>
    </row>
    <row r="5" spans="1:12" ht="15.6" x14ac:dyDescent="0.3">
      <c r="A5" s="4" t="s">
        <v>9</v>
      </c>
      <c r="B5" s="5" t="str">
        <f>HLOOKUP(B1,F1:L3,3,FALSE)</f>
        <v>heat reduce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65BBF-FDC5-47A4-9A14-DBCEB7F6C157}">
  <dimension ref="A1:N25"/>
  <sheetViews>
    <sheetView tabSelected="1" workbookViewId="0">
      <selection activeCell="F23" sqref="F23"/>
    </sheetView>
  </sheetViews>
  <sheetFormatPr defaultRowHeight="14.4" x14ac:dyDescent="0.3"/>
  <cols>
    <col min="2" max="2" width="11.5546875" customWidth="1"/>
    <col min="3" max="3" width="15.5546875" bestFit="1" customWidth="1"/>
    <col min="4" max="4" width="14.77734375" customWidth="1"/>
    <col min="12" max="13" width="10.88671875" bestFit="1" customWidth="1"/>
  </cols>
  <sheetData>
    <row r="1" spans="1:14" x14ac:dyDescent="0.3">
      <c r="D1" s="14" t="s">
        <v>49</v>
      </c>
      <c r="E1" s="14"/>
      <c r="F1" s="14"/>
      <c r="G1" s="14"/>
      <c r="H1" s="14"/>
      <c r="I1" s="14"/>
    </row>
    <row r="2" spans="1:14" x14ac:dyDescent="0.3">
      <c r="D2" s="14"/>
      <c r="E2" s="14"/>
      <c r="F2" s="14"/>
      <c r="G2" s="14"/>
      <c r="H2" s="14"/>
      <c r="I2" s="14"/>
    </row>
    <row r="3" spans="1:14" x14ac:dyDescent="0.3">
      <c r="C3" s="13"/>
      <c r="D3" s="14"/>
      <c r="E3" s="14"/>
      <c r="F3" s="14"/>
      <c r="G3" s="14"/>
      <c r="H3" s="14"/>
      <c r="I3" s="14"/>
    </row>
    <row r="4" spans="1:14" x14ac:dyDescent="0.3">
      <c r="C4" s="13"/>
    </row>
    <row r="5" spans="1:14" x14ac:dyDescent="0.3">
      <c r="A5" s="2" t="s">
        <v>18</v>
      </c>
      <c r="B5" s="2" t="s">
        <v>19</v>
      </c>
      <c r="C5" s="2" t="s">
        <v>27</v>
      </c>
      <c r="D5" s="2" t="s">
        <v>20</v>
      </c>
      <c r="E5" s="2" t="s">
        <v>21</v>
      </c>
      <c r="F5" s="2" t="s">
        <v>22</v>
      </c>
      <c r="G5" s="2" t="s">
        <v>23</v>
      </c>
      <c r="H5" s="10" t="s">
        <v>45</v>
      </c>
      <c r="I5" s="2" t="s">
        <v>46</v>
      </c>
      <c r="J5" s="2" t="s">
        <v>24</v>
      </c>
      <c r="K5" s="2" t="s">
        <v>44</v>
      </c>
      <c r="L5" s="2" t="s">
        <v>25</v>
      </c>
      <c r="M5" s="2" t="s">
        <v>26</v>
      </c>
      <c r="N5" s="2"/>
    </row>
    <row r="6" spans="1:14" x14ac:dyDescent="0.3">
      <c r="A6" s="1">
        <v>150</v>
      </c>
      <c r="B6" s="1" t="s">
        <v>31</v>
      </c>
      <c r="C6" s="1">
        <v>15000</v>
      </c>
      <c r="D6" s="1">
        <f>C6*5/100</f>
        <v>750</v>
      </c>
      <c r="E6" s="1">
        <f>C6*19/100</f>
        <v>2850</v>
      </c>
      <c r="F6" s="1">
        <f>C6*6/100</f>
        <v>900</v>
      </c>
      <c r="G6" s="1">
        <v>500</v>
      </c>
      <c r="H6" s="1">
        <f>C6*1/100</f>
        <v>150</v>
      </c>
      <c r="I6" s="1">
        <f>C6*12/100</f>
        <v>1800</v>
      </c>
      <c r="J6" s="1">
        <v>0</v>
      </c>
      <c r="K6" s="1">
        <v>345</v>
      </c>
      <c r="L6" s="1">
        <f>C6+D6+F6+E6+G6-K6-J6-H6</f>
        <v>19505</v>
      </c>
      <c r="M6" s="1">
        <f>L6-I6</f>
        <v>17705</v>
      </c>
      <c r="N6" s="1"/>
    </row>
    <row r="7" spans="1:14" x14ac:dyDescent="0.3">
      <c r="A7" s="1">
        <v>151</v>
      </c>
      <c r="B7" s="1" t="s">
        <v>32</v>
      </c>
      <c r="C7" s="1">
        <v>10000</v>
      </c>
      <c r="D7" s="1">
        <f t="shared" ref="D7:D20" si="0">C7*5/100</f>
        <v>500</v>
      </c>
      <c r="E7" s="1">
        <f t="shared" ref="E7:E18" si="1">C7*19/100</f>
        <v>1900</v>
      </c>
      <c r="F7" s="1">
        <f t="shared" ref="F7:F18" si="2">C7*6/100</f>
        <v>600</v>
      </c>
      <c r="G7" s="1">
        <v>400</v>
      </c>
      <c r="H7" s="1">
        <f>C7*1/100</f>
        <v>100</v>
      </c>
      <c r="I7" s="1">
        <f t="shared" ref="I7:I18" si="3">C7*12/100</f>
        <v>1200</v>
      </c>
      <c r="J7" s="1">
        <v>400</v>
      </c>
      <c r="K7" s="1">
        <v>500</v>
      </c>
      <c r="L7" s="1">
        <f t="shared" ref="L7:L18" si="4">C7+D7+F7+E7+G7-K7-J7-H7</f>
        <v>12400</v>
      </c>
      <c r="M7" s="1">
        <f t="shared" ref="M7:M18" si="5">L7-I7</f>
        <v>11200</v>
      </c>
      <c r="N7" s="1"/>
    </row>
    <row r="8" spans="1:14" x14ac:dyDescent="0.3">
      <c r="A8" s="1">
        <v>152</v>
      </c>
      <c r="B8" s="1" t="s">
        <v>33</v>
      </c>
      <c r="C8" s="1">
        <v>13000</v>
      </c>
      <c r="D8" s="1">
        <f t="shared" si="0"/>
        <v>650</v>
      </c>
      <c r="E8" s="1">
        <f t="shared" si="1"/>
        <v>2470</v>
      </c>
      <c r="F8" s="1">
        <f t="shared" si="2"/>
        <v>780</v>
      </c>
      <c r="G8" s="1">
        <v>500</v>
      </c>
      <c r="H8" s="1">
        <f>C8*1/100</f>
        <v>130</v>
      </c>
      <c r="I8" s="1">
        <f t="shared" si="3"/>
        <v>1560</v>
      </c>
      <c r="J8" s="1">
        <v>0</v>
      </c>
      <c r="K8" s="1">
        <v>500</v>
      </c>
      <c r="L8" s="1">
        <f t="shared" si="4"/>
        <v>16770</v>
      </c>
      <c r="M8" s="1">
        <f t="shared" si="5"/>
        <v>15210</v>
      </c>
      <c r="N8" s="1"/>
    </row>
    <row r="9" spans="1:14" x14ac:dyDescent="0.3">
      <c r="A9" s="1">
        <v>153</v>
      </c>
      <c r="B9" s="1" t="s">
        <v>34</v>
      </c>
      <c r="C9" s="1">
        <v>14000</v>
      </c>
      <c r="D9" s="1">
        <f t="shared" si="0"/>
        <v>700</v>
      </c>
      <c r="E9" s="1">
        <f t="shared" si="1"/>
        <v>2660</v>
      </c>
      <c r="F9" s="1">
        <f t="shared" si="2"/>
        <v>840</v>
      </c>
      <c r="G9" s="1">
        <v>380</v>
      </c>
      <c r="H9" s="1">
        <f>C9*1/100</f>
        <v>140</v>
      </c>
      <c r="I9" s="1">
        <f t="shared" si="3"/>
        <v>1680</v>
      </c>
      <c r="J9" s="1">
        <v>500</v>
      </c>
      <c r="K9" s="1">
        <v>1000</v>
      </c>
      <c r="L9" s="1">
        <f t="shared" si="4"/>
        <v>16940</v>
      </c>
      <c r="M9" s="1">
        <f t="shared" si="5"/>
        <v>15260</v>
      </c>
      <c r="N9" s="1"/>
    </row>
    <row r="10" spans="1:14" x14ac:dyDescent="0.3">
      <c r="A10" s="1">
        <v>154</v>
      </c>
      <c r="B10" s="1" t="s">
        <v>35</v>
      </c>
      <c r="C10" s="1">
        <v>16000</v>
      </c>
      <c r="D10" s="1">
        <f t="shared" si="0"/>
        <v>800</v>
      </c>
      <c r="E10" s="1">
        <f t="shared" si="1"/>
        <v>3040</v>
      </c>
      <c r="F10" s="1">
        <f t="shared" si="2"/>
        <v>960</v>
      </c>
      <c r="G10" s="1">
        <v>480</v>
      </c>
      <c r="H10" s="1">
        <f>C10*1/100</f>
        <v>160</v>
      </c>
      <c r="I10" s="1">
        <f t="shared" si="3"/>
        <v>1920</v>
      </c>
      <c r="J10" s="1">
        <v>500</v>
      </c>
      <c r="K10" s="1">
        <v>1000</v>
      </c>
      <c r="L10" s="1">
        <f t="shared" si="4"/>
        <v>19620</v>
      </c>
      <c r="M10" s="1">
        <f t="shared" si="5"/>
        <v>17700</v>
      </c>
      <c r="N10" s="1"/>
    </row>
    <row r="11" spans="1:14" x14ac:dyDescent="0.3">
      <c r="A11" s="1">
        <v>155</v>
      </c>
      <c r="B11" s="1" t="s">
        <v>36</v>
      </c>
      <c r="C11" s="1">
        <v>17000</v>
      </c>
      <c r="D11" s="1">
        <f t="shared" si="0"/>
        <v>850</v>
      </c>
      <c r="E11" s="1">
        <f t="shared" si="1"/>
        <v>3230</v>
      </c>
      <c r="F11" s="1">
        <f t="shared" si="2"/>
        <v>1020</v>
      </c>
      <c r="G11" s="1">
        <v>450</v>
      </c>
      <c r="H11" s="1">
        <f>C11*1/100</f>
        <v>170</v>
      </c>
      <c r="I11" s="1">
        <f t="shared" si="3"/>
        <v>2040</v>
      </c>
      <c r="J11" s="1">
        <v>100</v>
      </c>
      <c r="K11" s="1">
        <v>650</v>
      </c>
      <c r="L11" s="1">
        <f t="shared" si="4"/>
        <v>21630</v>
      </c>
      <c r="M11" s="1">
        <f t="shared" si="5"/>
        <v>19590</v>
      </c>
      <c r="N11" s="1"/>
    </row>
    <row r="12" spans="1:14" x14ac:dyDescent="0.3">
      <c r="A12" s="1">
        <v>156</v>
      </c>
      <c r="B12" s="1" t="s">
        <v>37</v>
      </c>
      <c r="C12" s="1">
        <v>15500</v>
      </c>
      <c r="D12" s="1">
        <f t="shared" si="0"/>
        <v>775</v>
      </c>
      <c r="E12" s="1">
        <f t="shared" si="1"/>
        <v>2945</v>
      </c>
      <c r="F12" s="1">
        <f t="shared" si="2"/>
        <v>930</v>
      </c>
      <c r="G12" s="1">
        <v>390</v>
      </c>
      <c r="H12" s="1">
        <f>C12*1/100</f>
        <v>155</v>
      </c>
      <c r="I12" s="1">
        <f t="shared" si="3"/>
        <v>1860</v>
      </c>
      <c r="J12" s="1">
        <v>600</v>
      </c>
      <c r="K12" s="1">
        <v>500</v>
      </c>
      <c r="L12" s="1">
        <f t="shared" si="4"/>
        <v>19285</v>
      </c>
      <c r="M12" s="1">
        <f t="shared" si="5"/>
        <v>17425</v>
      </c>
      <c r="N12" s="1"/>
    </row>
    <row r="13" spans="1:14" x14ac:dyDescent="0.3">
      <c r="A13" s="1">
        <v>157</v>
      </c>
      <c r="B13" s="1" t="s">
        <v>38</v>
      </c>
      <c r="C13" s="1">
        <v>14900</v>
      </c>
      <c r="D13" s="1">
        <f t="shared" si="0"/>
        <v>745</v>
      </c>
      <c r="E13" s="1">
        <f t="shared" si="1"/>
        <v>2831</v>
      </c>
      <c r="F13" s="1">
        <f t="shared" si="2"/>
        <v>894</v>
      </c>
      <c r="G13" s="1">
        <v>420</v>
      </c>
      <c r="H13" s="1">
        <f>C13*1/100</f>
        <v>149</v>
      </c>
      <c r="I13" s="1">
        <f t="shared" si="3"/>
        <v>1788</v>
      </c>
      <c r="J13" s="1">
        <v>500</v>
      </c>
      <c r="K13" s="1">
        <v>350</v>
      </c>
      <c r="L13" s="1">
        <f t="shared" si="4"/>
        <v>18791</v>
      </c>
      <c r="M13" s="1">
        <f t="shared" si="5"/>
        <v>17003</v>
      </c>
      <c r="N13" s="1"/>
    </row>
    <row r="14" spans="1:14" x14ac:dyDescent="0.3">
      <c r="A14" s="1">
        <v>158</v>
      </c>
      <c r="B14" s="1" t="s">
        <v>39</v>
      </c>
      <c r="C14" s="1">
        <v>15000</v>
      </c>
      <c r="D14" s="1">
        <f t="shared" si="0"/>
        <v>750</v>
      </c>
      <c r="E14" s="1">
        <f t="shared" si="1"/>
        <v>2850</v>
      </c>
      <c r="F14" s="1">
        <f t="shared" si="2"/>
        <v>900</v>
      </c>
      <c r="G14" s="1">
        <v>490</v>
      </c>
      <c r="H14" s="1">
        <f>C14*1/100</f>
        <v>150</v>
      </c>
      <c r="I14" s="1">
        <f t="shared" si="3"/>
        <v>1800</v>
      </c>
      <c r="J14" s="1">
        <v>400</v>
      </c>
      <c r="K14" s="1">
        <v>450</v>
      </c>
      <c r="L14" s="1">
        <f t="shared" si="4"/>
        <v>18990</v>
      </c>
      <c r="M14" s="1">
        <f t="shared" si="5"/>
        <v>17190</v>
      </c>
      <c r="N14" s="1"/>
    </row>
    <row r="15" spans="1:14" x14ac:dyDescent="0.3">
      <c r="A15" s="1">
        <v>159</v>
      </c>
      <c r="B15" s="1" t="s">
        <v>40</v>
      </c>
      <c r="C15" s="1">
        <v>15000</v>
      </c>
      <c r="D15" s="1">
        <f t="shared" si="0"/>
        <v>750</v>
      </c>
      <c r="E15" s="1">
        <f t="shared" si="1"/>
        <v>2850</v>
      </c>
      <c r="F15" s="1">
        <f t="shared" si="2"/>
        <v>900</v>
      </c>
      <c r="G15" s="1">
        <v>500</v>
      </c>
      <c r="H15" s="1">
        <f>C15*1/100</f>
        <v>150</v>
      </c>
      <c r="I15" s="1">
        <f t="shared" si="3"/>
        <v>1800</v>
      </c>
      <c r="J15" s="1">
        <v>0</v>
      </c>
      <c r="K15" s="1">
        <v>600</v>
      </c>
      <c r="L15" s="1">
        <f t="shared" si="4"/>
        <v>19250</v>
      </c>
      <c r="M15" s="1">
        <f t="shared" si="5"/>
        <v>17450</v>
      </c>
      <c r="N15" s="1"/>
    </row>
    <row r="16" spans="1:14" x14ac:dyDescent="0.3">
      <c r="A16" s="1">
        <v>160</v>
      </c>
      <c r="B16" s="1" t="s">
        <v>41</v>
      </c>
      <c r="C16" s="1">
        <v>13000</v>
      </c>
      <c r="D16" s="1">
        <f t="shared" si="0"/>
        <v>650</v>
      </c>
      <c r="E16" s="1">
        <f t="shared" si="1"/>
        <v>2470</v>
      </c>
      <c r="F16" s="1">
        <f t="shared" si="2"/>
        <v>780</v>
      </c>
      <c r="G16" s="1">
        <v>400</v>
      </c>
      <c r="H16" s="1">
        <f>C16*1/100</f>
        <v>130</v>
      </c>
      <c r="I16" s="1">
        <f t="shared" si="3"/>
        <v>1560</v>
      </c>
      <c r="J16" s="1">
        <v>0</v>
      </c>
      <c r="K16" s="1">
        <v>500</v>
      </c>
      <c r="L16" s="1">
        <f t="shared" si="4"/>
        <v>16670</v>
      </c>
      <c r="M16" s="1">
        <f t="shared" si="5"/>
        <v>15110</v>
      </c>
      <c r="N16" s="1"/>
    </row>
    <row r="17" spans="1:14" x14ac:dyDescent="0.3">
      <c r="A17" s="1">
        <v>161</v>
      </c>
      <c r="B17" s="1" t="s">
        <v>42</v>
      </c>
      <c r="C17" s="1">
        <v>14500</v>
      </c>
      <c r="D17" s="1">
        <f t="shared" si="0"/>
        <v>725</v>
      </c>
      <c r="E17" s="1">
        <f t="shared" si="1"/>
        <v>2755</v>
      </c>
      <c r="F17" s="1">
        <f t="shared" si="2"/>
        <v>870</v>
      </c>
      <c r="G17" s="1">
        <v>300</v>
      </c>
      <c r="H17" s="1">
        <f>C17*1/100</f>
        <v>145</v>
      </c>
      <c r="I17" s="1">
        <f t="shared" si="3"/>
        <v>1740</v>
      </c>
      <c r="J17" s="1">
        <v>250</v>
      </c>
      <c r="K17" s="1">
        <v>200</v>
      </c>
      <c r="L17" s="1">
        <f t="shared" si="4"/>
        <v>18555</v>
      </c>
      <c r="M17" s="1">
        <f t="shared" si="5"/>
        <v>16815</v>
      </c>
      <c r="N17" s="1"/>
    </row>
    <row r="18" spans="1:14" x14ac:dyDescent="0.3">
      <c r="A18" s="1">
        <v>162</v>
      </c>
      <c r="B18" s="1" t="s">
        <v>43</v>
      </c>
      <c r="C18" s="1">
        <v>10200</v>
      </c>
      <c r="D18" s="1">
        <f t="shared" si="0"/>
        <v>510</v>
      </c>
      <c r="E18" s="1">
        <f t="shared" si="1"/>
        <v>1938</v>
      </c>
      <c r="F18" s="1">
        <f t="shared" si="2"/>
        <v>612</v>
      </c>
      <c r="G18" s="1">
        <v>200</v>
      </c>
      <c r="H18" s="1">
        <f>C18*1/100</f>
        <v>102</v>
      </c>
      <c r="I18" s="1">
        <f t="shared" si="3"/>
        <v>1224</v>
      </c>
      <c r="J18" s="1">
        <v>500</v>
      </c>
      <c r="K18" s="1">
        <v>0</v>
      </c>
      <c r="L18" s="1">
        <f t="shared" si="4"/>
        <v>12858</v>
      </c>
      <c r="M18" s="1">
        <f t="shared" si="5"/>
        <v>11634</v>
      </c>
      <c r="N18" s="1"/>
    </row>
    <row r="19" spans="1:14" x14ac:dyDescent="0.3">
      <c r="K19" s="1"/>
    </row>
    <row r="20" spans="1:14" x14ac:dyDescent="0.3">
      <c r="K20" s="1"/>
    </row>
    <row r="21" spans="1:14" x14ac:dyDescent="0.3">
      <c r="C21" t="s">
        <v>28</v>
      </c>
      <c r="D21" s="1"/>
      <c r="G21" t="s">
        <v>48</v>
      </c>
      <c r="H21">
        <v>151</v>
      </c>
      <c r="K21" s="9"/>
    </row>
    <row r="22" spans="1:14" x14ac:dyDescent="0.3">
      <c r="C22" s="11" t="s">
        <v>47</v>
      </c>
      <c r="D22" s="12"/>
      <c r="G22" t="s">
        <v>26</v>
      </c>
      <c r="H22">
        <f>VLOOKUP(H21,A5:M18,13,FALSE)</f>
        <v>11200</v>
      </c>
    </row>
    <row r="24" spans="1:14" x14ac:dyDescent="0.3">
      <c r="C24" t="s">
        <v>29</v>
      </c>
    </row>
    <row r="25" spans="1:14" x14ac:dyDescent="0.3">
      <c r="C25" t="s">
        <v>30</v>
      </c>
    </row>
  </sheetData>
  <mergeCells count="2">
    <mergeCell ref="C22:D22"/>
    <mergeCell ref="D1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22C5C-BE44-41BC-871F-E445075F9868}">
  <dimension ref="A2:T20"/>
  <sheetViews>
    <sheetView workbookViewId="0">
      <selection activeCell="I19" sqref="I19"/>
    </sheetView>
  </sheetViews>
  <sheetFormatPr defaultRowHeight="14.4" x14ac:dyDescent="0.3"/>
  <cols>
    <col min="1" max="1" width="12.33203125" bestFit="1" customWidth="1"/>
    <col min="8" max="8" width="10.88671875" bestFit="1" customWidth="1"/>
  </cols>
  <sheetData>
    <row r="2" spans="1:20" x14ac:dyDescent="0.3">
      <c r="F2" s="14" t="s">
        <v>49</v>
      </c>
      <c r="G2" s="14"/>
      <c r="H2" s="14"/>
      <c r="I2" s="14"/>
      <c r="J2" s="14"/>
      <c r="K2" s="14"/>
    </row>
    <row r="3" spans="1:20" x14ac:dyDescent="0.3">
      <c r="F3" s="14"/>
      <c r="G3" s="14"/>
      <c r="H3" s="14"/>
      <c r="I3" s="14"/>
      <c r="J3" s="14"/>
      <c r="K3" s="14"/>
    </row>
    <row r="4" spans="1:20" x14ac:dyDescent="0.3">
      <c r="F4" s="14"/>
      <c r="G4" s="14"/>
      <c r="H4" s="14"/>
      <c r="I4" s="14"/>
      <c r="J4" s="14"/>
      <c r="K4" s="14"/>
    </row>
    <row r="5" spans="1:20" x14ac:dyDescent="0.3">
      <c r="A5" s="2" t="s">
        <v>18</v>
      </c>
      <c r="B5" s="1">
        <v>150</v>
      </c>
      <c r="C5" s="1">
        <v>151</v>
      </c>
      <c r="D5" s="1">
        <v>152</v>
      </c>
      <c r="E5" s="1">
        <v>153</v>
      </c>
      <c r="F5" s="1">
        <v>154</v>
      </c>
      <c r="G5" s="1">
        <v>155</v>
      </c>
      <c r="H5" s="1">
        <v>156</v>
      </c>
      <c r="I5" s="1">
        <v>157</v>
      </c>
      <c r="J5" s="1">
        <v>158</v>
      </c>
      <c r="K5" s="1">
        <v>159</v>
      </c>
      <c r="L5" s="1">
        <v>160</v>
      </c>
      <c r="M5" s="1">
        <v>161</v>
      </c>
      <c r="N5" s="1">
        <v>162</v>
      </c>
      <c r="O5" s="14"/>
      <c r="P5" s="14"/>
      <c r="Q5" s="14"/>
      <c r="R5" s="14"/>
      <c r="S5" s="14"/>
      <c r="T5" s="14"/>
    </row>
    <row r="6" spans="1:20" x14ac:dyDescent="0.3">
      <c r="A6" s="2" t="s">
        <v>19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  <c r="H6" s="1" t="s">
        <v>37</v>
      </c>
      <c r="I6" s="1" t="s">
        <v>38</v>
      </c>
      <c r="J6" s="1" t="s">
        <v>39</v>
      </c>
      <c r="K6" s="1" t="s">
        <v>40</v>
      </c>
      <c r="L6" s="1" t="s">
        <v>41</v>
      </c>
      <c r="M6" s="1" t="s">
        <v>42</v>
      </c>
      <c r="N6" s="1" t="s">
        <v>43</v>
      </c>
      <c r="O6" s="14"/>
      <c r="P6" s="14"/>
      <c r="Q6" s="14"/>
      <c r="R6" s="14"/>
      <c r="S6" s="14"/>
      <c r="T6" s="14"/>
    </row>
    <row r="7" spans="1:20" x14ac:dyDescent="0.3">
      <c r="A7" s="2" t="s">
        <v>27</v>
      </c>
      <c r="B7" s="1">
        <v>6000</v>
      </c>
      <c r="C7" s="1">
        <v>7000</v>
      </c>
      <c r="D7" s="1">
        <v>5000</v>
      </c>
      <c r="E7" s="1">
        <v>8000</v>
      </c>
      <c r="F7" s="1">
        <v>5500</v>
      </c>
      <c r="G7" s="1">
        <v>4900</v>
      </c>
      <c r="H7" s="1">
        <v>5700</v>
      </c>
      <c r="I7" s="1">
        <v>9000</v>
      </c>
      <c r="J7" s="1">
        <v>15000</v>
      </c>
      <c r="K7" s="1">
        <v>7500</v>
      </c>
      <c r="L7" s="1">
        <v>8800</v>
      </c>
      <c r="M7" s="1">
        <v>9500</v>
      </c>
      <c r="N7" s="1">
        <v>10200</v>
      </c>
      <c r="O7" s="14"/>
      <c r="P7" s="14"/>
      <c r="Q7" s="14"/>
      <c r="R7" s="14"/>
      <c r="S7" s="14"/>
      <c r="T7" s="14"/>
    </row>
    <row r="8" spans="1:20" x14ac:dyDescent="0.3">
      <c r="A8" s="2" t="s">
        <v>20</v>
      </c>
      <c r="B8" s="1">
        <f>B7*5/100</f>
        <v>300</v>
      </c>
      <c r="C8" s="1">
        <f>C7*5/100</f>
        <v>350</v>
      </c>
      <c r="D8" s="1">
        <f>D7*5/100</f>
        <v>250</v>
      </c>
      <c r="E8" s="1">
        <f>E7*5/100</f>
        <v>400</v>
      </c>
      <c r="F8" s="1">
        <f>F7*5/100</f>
        <v>275</v>
      </c>
      <c r="G8" s="1">
        <f>G7*5/100</f>
        <v>245</v>
      </c>
      <c r="H8" s="1">
        <f>H7*5/100</f>
        <v>285</v>
      </c>
      <c r="I8" s="1">
        <f>I7*5/100</f>
        <v>450</v>
      </c>
      <c r="J8" s="1">
        <f>J7*5/100</f>
        <v>750</v>
      </c>
      <c r="K8" s="1">
        <f>K7*5/100</f>
        <v>375</v>
      </c>
      <c r="L8" s="1">
        <f>L7*5/100</f>
        <v>440</v>
      </c>
      <c r="M8" s="1">
        <f>M7*5/100</f>
        <v>475</v>
      </c>
      <c r="N8" s="1">
        <f>N7*5/100</f>
        <v>510</v>
      </c>
    </row>
    <row r="9" spans="1:20" x14ac:dyDescent="0.3">
      <c r="A9" s="2" t="s">
        <v>21</v>
      </c>
      <c r="B9" s="1">
        <f>B7*19/100</f>
        <v>1140</v>
      </c>
      <c r="C9" s="1">
        <f>C7*19/100</f>
        <v>1330</v>
      </c>
      <c r="D9" s="1">
        <f>D7*19/100</f>
        <v>950</v>
      </c>
      <c r="E9" s="1">
        <f>E7*19/100</f>
        <v>1520</v>
      </c>
      <c r="F9" s="1">
        <f>F7*19/100</f>
        <v>1045</v>
      </c>
      <c r="G9" s="1">
        <f>G7*19/100</f>
        <v>931</v>
      </c>
      <c r="H9" s="1">
        <f>H7*19/100</f>
        <v>1083</v>
      </c>
      <c r="I9" s="1">
        <f>I7*19/100</f>
        <v>1710</v>
      </c>
      <c r="J9" s="1">
        <f>J7*19/100</f>
        <v>2850</v>
      </c>
      <c r="K9" s="1">
        <f>K7*19/100</f>
        <v>1425</v>
      </c>
      <c r="L9" s="1">
        <f>L7*19/100</f>
        <v>1672</v>
      </c>
      <c r="M9" s="1">
        <f>M7*19/100</f>
        <v>1805</v>
      </c>
      <c r="N9" s="1">
        <f>N7*19/100</f>
        <v>1938</v>
      </c>
    </row>
    <row r="10" spans="1:20" x14ac:dyDescent="0.3">
      <c r="A10" s="2" t="s">
        <v>22</v>
      </c>
      <c r="B10" s="1">
        <f>B7*6/100</f>
        <v>360</v>
      </c>
      <c r="C10" s="1">
        <f>C7*6/100</f>
        <v>420</v>
      </c>
      <c r="D10" s="1">
        <f>D7*6/100</f>
        <v>300</v>
      </c>
      <c r="E10" s="1">
        <f>E7*6/100</f>
        <v>480</v>
      </c>
      <c r="F10" s="1">
        <f>F7*6/100</f>
        <v>330</v>
      </c>
      <c r="G10" s="1">
        <f>G7*6/100</f>
        <v>294</v>
      </c>
      <c r="H10" s="1">
        <f>H7*6/100</f>
        <v>342</v>
      </c>
      <c r="I10" s="1">
        <f>I7*6/100</f>
        <v>540</v>
      </c>
      <c r="J10" s="1">
        <f>J7*6/100</f>
        <v>900</v>
      </c>
      <c r="K10" s="1">
        <f>K7*6/100</f>
        <v>450</v>
      </c>
      <c r="L10" s="1">
        <f>L7*6/100</f>
        <v>528</v>
      </c>
      <c r="M10" s="1">
        <f>M7*6/100</f>
        <v>570</v>
      </c>
      <c r="N10" s="1">
        <f>N7*6/100</f>
        <v>612</v>
      </c>
    </row>
    <row r="11" spans="1:20" x14ac:dyDescent="0.3">
      <c r="A11" s="2" t="s">
        <v>23</v>
      </c>
      <c r="B11" s="1">
        <v>500</v>
      </c>
      <c r="C11" s="1">
        <v>400</v>
      </c>
      <c r="D11" s="1">
        <v>500</v>
      </c>
      <c r="E11" s="1">
        <v>380</v>
      </c>
      <c r="F11" s="1">
        <v>480</v>
      </c>
      <c r="G11" s="1">
        <v>450</v>
      </c>
      <c r="H11" s="1">
        <v>390</v>
      </c>
      <c r="I11" s="1">
        <v>420</v>
      </c>
      <c r="J11" s="1">
        <v>490</v>
      </c>
      <c r="K11" s="1">
        <v>500</v>
      </c>
      <c r="L11" s="1">
        <v>400</v>
      </c>
      <c r="M11" s="1">
        <v>300</v>
      </c>
      <c r="N11" s="1">
        <v>200</v>
      </c>
    </row>
    <row r="12" spans="1:20" x14ac:dyDescent="0.3">
      <c r="A12" s="10" t="s">
        <v>45</v>
      </c>
      <c r="B12" s="1">
        <f>B7*1/100</f>
        <v>60</v>
      </c>
      <c r="C12" s="1">
        <f>C7*1/100</f>
        <v>70</v>
      </c>
      <c r="D12" s="1">
        <f>D7*1/100</f>
        <v>50</v>
      </c>
      <c r="E12" s="1">
        <f>E7*1/100</f>
        <v>80</v>
      </c>
      <c r="F12" s="1">
        <f>F7*1/100</f>
        <v>55</v>
      </c>
      <c r="G12" s="1">
        <f>G7*1/100</f>
        <v>49</v>
      </c>
      <c r="H12" s="1">
        <f>H7*1/100</f>
        <v>57</v>
      </c>
      <c r="I12" s="1">
        <f>I7*1/100</f>
        <v>90</v>
      </c>
      <c r="J12" s="1">
        <f>J7*1/100</f>
        <v>150</v>
      </c>
      <c r="K12" s="1">
        <f>K7*1/100</f>
        <v>75</v>
      </c>
      <c r="L12" s="1">
        <f>L7*1/100</f>
        <v>88</v>
      </c>
      <c r="M12" s="1">
        <f>M7*1/100</f>
        <v>95</v>
      </c>
      <c r="N12" s="1">
        <f>N7*1/100</f>
        <v>102</v>
      </c>
    </row>
    <row r="13" spans="1:20" x14ac:dyDescent="0.3">
      <c r="A13" s="2" t="s">
        <v>46</v>
      </c>
      <c r="B13" s="1">
        <f>B7*12/100</f>
        <v>720</v>
      </c>
      <c r="C13" s="1">
        <f>C7*12/100</f>
        <v>840</v>
      </c>
      <c r="D13" s="1">
        <f>D7*12/100</f>
        <v>600</v>
      </c>
      <c r="E13" s="1">
        <f>E7*12/100</f>
        <v>960</v>
      </c>
      <c r="F13" s="1">
        <f>F7*12/100</f>
        <v>660</v>
      </c>
      <c r="G13" s="1">
        <f>G7*12/100</f>
        <v>588</v>
      </c>
      <c r="H13" s="1">
        <f>H7*12/100</f>
        <v>684</v>
      </c>
      <c r="I13" s="1">
        <f>I7*12/100</f>
        <v>1080</v>
      </c>
      <c r="J13" s="1">
        <f>J7*12/100</f>
        <v>1800</v>
      </c>
      <c r="K13" s="1">
        <f>K7*12/100</f>
        <v>900</v>
      </c>
      <c r="L13" s="1">
        <f>L7*12/100</f>
        <v>1056</v>
      </c>
      <c r="M13" s="1">
        <f>M7*12/100</f>
        <v>1140</v>
      </c>
      <c r="N13" s="1">
        <f>N7*12/100</f>
        <v>1224</v>
      </c>
    </row>
    <row r="14" spans="1:20" x14ac:dyDescent="0.3">
      <c r="A14" s="2" t="s">
        <v>24</v>
      </c>
      <c r="B14" s="1">
        <v>500</v>
      </c>
      <c r="C14" s="1">
        <v>600</v>
      </c>
      <c r="D14" s="1">
        <v>0</v>
      </c>
      <c r="E14" s="1">
        <v>1000</v>
      </c>
      <c r="F14" s="1">
        <v>1000</v>
      </c>
      <c r="G14" s="1">
        <v>2000</v>
      </c>
      <c r="H14" s="1">
        <v>600</v>
      </c>
      <c r="I14" s="1">
        <v>500</v>
      </c>
      <c r="J14" s="1">
        <v>400</v>
      </c>
      <c r="K14" s="1">
        <v>0</v>
      </c>
      <c r="L14" s="1">
        <v>0</v>
      </c>
      <c r="M14" s="1">
        <v>250</v>
      </c>
      <c r="N14" s="1">
        <v>500</v>
      </c>
    </row>
    <row r="15" spans="1:20" x14ac:dyDescent="0.3">
      <c r="A15" s="2" t="s">
        <v>44</v>
      </c>
      <c r="B15" s="1">
        <v>1500</v>
      </c>
      <c r="C15" s="1">
        <v>500</v>
      </c>
      <c r="D15" s="1">
        <v>1000</v>
      </c>
      <c r="E15" s="1">
        <v>2000</v>
      </c>
      <c r="F15" s="1">
        <v>1500</v>
      </c>
      <c r="G15" s="1">
        <v>1000</v>
      </c>
      <c r="H15" s="1">
        <v>500</v>
      </c>
      <c r="I15" s="1">
        <v>350</v>
      </c>
      <c r="J15" s="1">
        <v>450</v>
      </c>
      <c r="K15" s="1">
        <v>600</v>
      </c>
      <c r="L15" s="1">
        <v>500</v>
      </c>
      <c r="M15" s="1">
        <v>200</v>
      </c>
      <c r="N15" s="1">
        <v>0</v>
      </c>
    </row>
    <row r="16" spans="1:20" x14ac:dyDescent="0.3">
      <c r="A16" s="2" t="s">
        <v>25</v>
      </c>
      <c r="B16" s="1">
        <f>B7+B8+B10+B9+B11-B15-B14-B12</f>
        <v>6240</v>
      </c>
      <c r="C16" s="1">
        <f>C7+C8+C10+C9+C11-C15-C14-C12</f>
        <v>8330</v>
      </c>
      <c r="D16" s="1">
        <f>D7+D8+D10+D9+D11-D15-D14-D12</f>
        <v>5950</v>
      </c>
      <c r="E16" s="1">
        <f>E7+E8+E10+E9+E11-E15-E14-E12</f>
        <v>7700</v>
      </c>
      <c r="F16" s="1">
        <f>F7+F8+F10+F9+F11-F15-F14-F12</f>
        <v>5075</v>
      </c>
      <c r="G16" s="1">
        <f>G7+G8+G10+G9+G11-G15-G14-G12</f>
        <v>3771</v>
      </c>
      <c r="H16" s="1">
        <f>H7+H8+H10+H9+H11-H15-H14-H12</f>
        <v>6643</v>
      </c>
      <c r="I16" s="1">
        <f>I7+I8+I10+I9+I11-I15-I14-I12</f>
        <v>11180</v>
      </c>
      <c r="J16" s="1">
        <f>J7+J8+J10+J9+J11-J15-J14-J12</f>
        <v>18990</v>
      </c>
      <c r="K16" s="1">
        <f>K7+K8+K10+K9+K11-K15-K14-K12</f>
        <v>9575</v>
      </c>
      <c r="L16" s="1">
        <f>L7+L8+L10+L9+L11-L15-L14-L12</f>
        <v>11252</v>
      </c>
      <c r="M16" s="1">
        <f>M7+M8+M10+M9+M11-M15-M14-M12</f>
        <v>12105</v>
      </c>
      <c r="N16" s="1">
        <f>N7+N8+N10+N9+N11-N15-N14-N12</f>
        <v>12858</v>
      </c>
    </row>
    <row r="17" spans="1:14" x14ac:dyDescent="0.3">
      <c r="A17" s="2" t="s">
        <v>26</v>
      </c>
      <c r="B17" s="1">
        <f>B16-B13</f>
        <v>5520</v>
      </c>
      <c r="C17" s="1">
        <f>C16-C13</f>
        <v>7490</v>
      </c>
      <c r="D17" s="1">
        <f>D16-D13</f>
        <v>5350</v>
      </c>
      <c r="E17" s="1">
        <f>E16-E13</f>
        <v>6740</v>
      </c>
      <c r="F17" s="1">
        <f>F16-F13</f>
        <v>4415</v>
      </c>
      <c r="G17" s="1">
        <f>G16-G13</f>
        <v>3183</v>
      </c>
      <c r="H17" s="1">
        <f>H16-H13</f>
        <v>5959</v>
      </c>
      <c r="I17" s="1">
        <f>I16-I13</f>
        <v>10100</v>
      </c>
      <c r="J17" s="1">
        <f>J16-J13</f>
        <v>17190</v>
      </c>
      <c r="K17" s="1">
        <f>K16-K13</f>
        <v>8675</v>
      </c>
      <c r="L17" s="1">
        <f>L16-L13</f>
        <v>10196</v>
      </c>
      <c r="M17" s="1">
        <f>M16-M13</f>
        <v>10965</v>
      </c>
      <c r="N17" s="1">
        <f>N16-N13</f>
        <v>11634</v>
      </c>
    </row>
    <row r="19" spans="1:14" x14ac:dyDescent="0.3">
      <c r="H19" t="s">
        <v>48</v>
      </c>
      <c r="I19">
        <v>155</v>
      </c>
    </row>
    <row r="20" spans="1:14" x14ac:dyDescent="0.3">
      <c r="H20" t="s">
        <v>50</v>
      </c>
      <c r="I20">
        <f>HLOOKUP(I19,A5:N17,13,FALSE)</f>
        <v>3183</v>
      </c>
    </row>
  </sheetData>
  <mergeCells count="2">
    <mergeCell ref="O5:T7"/>
    <mergeCell ref="F2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Parthiban sanjai</dc:creator>
  <cp:lastModifiedBy>Parthiban sanjai</cp:lastModifiedBy>
  <dcterms:created xsi:type="dcterms:W3CDTF">2025-12-05T09:58:01Z</dcterms:created>
  <dcterms:modified xsi:type="dcterms:W3CDTF">2025-12-05T12:41:21Z</dcterms:modified>
</cp:coreProperties>
</file>