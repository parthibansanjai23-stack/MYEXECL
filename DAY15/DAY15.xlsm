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cb00cd48f2e822/Desktop/JDA/DAY15/"/>
    </mc:Choice>
  </mc:AlternateContent>
  <xr:revisionPtr revIDLastSave="76" documentId="8_{31266DC2-F0A3-4014-8EFA-A4BB27F6DC7A}" xr6:coauthVersionLast="47" xr6:coauthVersionMax="47" xr10:uidLastSave="{445642F6-B19E-4EE3-BEB0-0028DB8B3DB5}"/>
  <bookViews>
    <workbookView xWindow="-108" yWindow="-108" windowWidth="23256" windowHeight="12456" activeTab="6" xr2:uid="{2077F531-F066-44CB-A658-ABCABD33FF13}"/>
  </bookViews>
  <sheets>
    <sheet name="XLOOKUP" sheetId="1" r:id="rId1"/>
    <sheet name="Sheet2" sheetId="2" r:id="rId2"/>
    <sheet name="Sheet3" sheetId="3" r:id="rId3"/>
    <sheet name="Sheet4" sheetId="4" r:id="rId4"/>
    <sheet name="Sheet8" sheetId="12" r:id="rId5"/>
    <sheet name="Sheet9" sheetId="13" r:id="rId6"/>
    <sheet name="Sheet1" sheetId="14" r:id="rId7"/>
  </sheets>
  <definedNames>
    <definedName name="_xlchart.v1.0" hidden="1">Sheet9!$C$5:$C$12</definedName>
    <definedName name="_xlchart.v1.1" hidden="1">Sheet9!$D$4</definedName>
    <definedName name="_xlchart.v1.2" hidden="1">Sheet9!$D$5:$D$12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4" l="1"/>
  <c r="D9" i="14" s="1"/>
  <c r="D10" i="14" s="1"/>
  <c r="D6" i="14"/>
  <c r="E9" i="14" s="1"/>
  <c r="E10" i="14" s="1"/>
  <c r="H5" i="1" a="1"/>
  <c r="H5" i="1" s="1"/>
  <c r="D4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<sst xmlns="http://schemas.openxmlformats.org/spreadsheetml/2006/main" count="40" uniqueCount="38">
  <si>
    <t>name</t>
  </si>
  <si>
    <t xml:space="preserve">jack </t>
  </si>
  <si>
    <t>cary</t>
  </si>
  <si>
    <t>jim</t>
  </si>
  <si>
    <t>maths</t>
  </si>
  <si>
    <t>sciecne</t>
  </si>
  <si>
    <t>science</t>
  </si>
  <si>
    <t>OVER</t>
  </si>
  <si>
    <t>INDIA</t>
  </si>
  <si>
    <t>SA</t>
  </si>
  <si>
    <t>PARTY NAME</t>
  </si>
  <si>
    <t>% OF VOTE</t>
  </si>
  <si>
    <t>TVK</t>
  </si>
  <si>
    <t>DMK</t>
  </si>
  <si>
    <t>ADMK</t>
  </si>
  <si>
    <t>NTK</t>
  </si>
  <si>
    <t>BJP</t>
  </si>
  <si>
    <t>CONGRESS</t>
  </si>
  <si>
    <t>TAMIL NADU ELECTION</t>
  </si>
  <si>
    <t>POPULATION</t>
  </si>
  <si>
    <t>USA</t>
  </si>
  <si>
    <t>UK</t>
  </si>
  <si>
    <t>India</t>
  </si>
  <si>
    <t>Russia</t>
  </si>
  <si>
    <t>Germany</t>
  </si>
  <si>
    <t>France</t>
  </si>
  <si>
    <t>South Africa</t>
  </si>
  <si>
    <t>Australia</t>
  </si>
  <si>
    <t>DOB</t>
  </si>
  <si>
    <t>SUNDAY</t>
  </si>
  <si>
    <t>MONDAY</t>
  </si>
  <si>
    <t>TUESDAY</t>
  </si>
  <si>
    <t>WEDNESDAY</t>
  </si>
  <si>
    <t>THURSDAY</t>
  </si>
  <si>
    <t>FRIDAY</t>
  </si>
  <si>
    <t>SATURDAY</t>
  </si>
  <si>
    <t xml:space="preserve">CURRENT 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</si>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</sst>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1F1F1F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9" fontId="0" fillId="0" borderId="0" xfId="0" applyNumberFormat="1"/>
    <xf numFmtId="0" fontId="1" fillId="0" borderId="0" xfId="0" applyFont="1" applyAlignment="1">
      <alignment horizontal="left" vertical="center" indent="1" readingOrder="1"/>
    </xf>
    <xf numFmtId="0" fontId="1" fillId="0" borderId="1" xfId="0" applyFont="1" applyBorder="1" applyAlignment="1">
      <alignment horizontal="left" vertical="center" indent="1" readingOrder="1"/>
    </xf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 INDIA VS SA</a:t>
            </a:r>
          </a:p>
        </c:rich>
      </c:tx>
      <c:layout>
        <c:manualLayout>
          <c:xMode val="edge"/>
          <c:yMode val="edge"/>
          <c:x val="0.39302077865266849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Sheet4!$B$4</c:f>
              <c:strCache>
                <c:ptCount val="1"/>
                <c:pt idx="0">
                  <c:v>INDIA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Sheet4!$C$4:$L$4</c:f>
              <c:numCache>
                <c:formatCode>General</c:formatCode>
                <c:ptCount val="10"/>
                <c:pt idx="0">
                  <c:v>2</c:v>
                </c:pt>
                <c:pt idx="1">
                  <c:v>8</c:v>
                </c:pt>
                <c:pt idx="2">
                  <c:v>7</c:v>
                </c:pt>
                <c:pt idx="3">
                  <c:v>8</c:v>
                </c:pt>
                <c:pt idx="4">
                  <c:v>12</c:v>
                </c:pt>
                <c:pt idx="5">
                  <c:v>9</c:v>
                </c:pt>
                <c:pt idx="6">
                  <c:v>10</c:v>
                </c:pt>
                <c:pt idx="7">
                  <c:v>9</c:v>
                </c:pt>
                <c:pt idx="8">
                  <c:v>7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09-413C-AFD7-B2EA86BCED4F}"/>
            </c:ext>
          </c:extLst>
        </c:ser>
        <c:ser>
          <c:idx val="1"/>
          <c:order val="1"/>
          <c:tx>
            <c:strRef>
              <c:f>Sheet4!$B$5</c:f>
              <c:strCache>
                <c:ptCount val="1"/>
                <c:pt idx="0">
                  <c:v>SA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Sheet4!$C$5:$L$5</c:f>
              <c:numCache>
                <c:formatCode>General</c:formatCode>
                <c:ptCount val="10"/>
                <c:pt idx="0">
                  <c:v>4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10</c:v>
                </c:pt>
                <c:pt idx="5">
                  <c:v>10</c:v>
                </c:pt>
                <c:pt idx="6">
                  <c:v>8</c:v>
                </c:pt>
                <c:pt idx="7">
                  <c:v>11</c:v>
                </c:pt>
                <c:pt idx="8">
                  <c:v>7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09-413C-AFD7-B2EA86BCED4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384608223"/>
        <c:axId val="384603423"/>
      </c:barChart>
      <c:catAx>
        <c:axId val="3846082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OVERS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03423"/>
        <c:crosses val="autoZero"/>
        <c:auto val="1"/>
        <c:lblAlgn val="ctr"/>
        <c:lblOffset val="100"/>
        <c:noMultiLvlLbl val="0"/>
      </c:catAx>
      <c:valAx>
        <c:axId val="38460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RUNS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08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912272329595164"/>
          <c:y val="0.14769775678866587"/>
          <c:w val="0.43357293406506003"/>
          <c:h val="0.67569807906243129"/>
        </c:manualLayout>
      </c:layout>
      <c:pieChart>
        <c:varyColors val="1"/>
        <c:ser>
          <c:idx val="0"/>
          <c:order val="0"/>
          <c:tx>
            <c:strRef>
              <c:f>Sheet8!$C$2</c:f>
              <c:strCache>
                <c:ptCount val="1"/>
                <c:pt idx="0">
                  <c:v>% OF VOTE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7FB-4BC3-87BF-95F931EA18B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7FB-4BC3-87BF-95F931EA18B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7FB-4BC3-87BF-95F931EA18B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5FF-4C33-8A65-31AC243BDB9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5FF-4C33-8A65-31AC243BDB9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5FF-4C33-8A65-31AC243BDB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Sheet8!$B$3:$B$8</c:f>
              <c:strCache>
                <c:ptCount val="6"/>
                <c:pt idx="0">
                  <c:v>TVK</c:v>
                </c:pt>
                <c:pt idx="1">
                  <c:v>DMK</c:v>
                </c:pt>
                <c:pt idx="2">
                  <c:v>ADMK</c:v>
                </c:pt>
                <c:pt idx="3">
                  <c:v>NTK</c:v>
                </c:pt>
                <c:pt idx="4">
                  <c:v>BJP</c:v>
                </c:pt>
                <c:pt idx="5">
                  <c:v>CONGRESS</c:v>
                </c:pt>
              </c:strCache>
            </c:strRef>
          </c:cat>
          <c:val>
            <c:numRef>
              <c:f>Sheet8!$C$3:$C$8</c:f>
              <c:numCache>
                <c:formatCode>0%</c:formatCode>
                <c:ptCount val="6"/>
                <c:pt idx="0">
                  <c:v>0.45</c:v>
                </c:pt>
                <c:pt idx="1">
                  <c:v>0.35</c:v>
                </c:pt>
                <c:pt idx="2">
                  <c:v>0.12</c:v>
                </c:pt>
                <c:pt idx="3">
                  <c:v>0.01</c:v>
                </c:pt>
                <c:pt idx="4">
                  <c:v>0.05</c:v>
                </c:pt>
                <c:pt idx="5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FB-4BC3-87BF-95F931EA18B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IN" sz="1800" b="0" i="0" u="none" strike="noStrike" baseline="0"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POPULATION</a:t>
            </a:r>
            <a:r>
              <a:rPr lang="en-IN">
                <a:effectLst/>
              </a:rPr>
              <a:t> </a:t>
            </a:r>
            <a:endParaRPr lang="en-U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3804D0C2-EAF7-4F85-8B39-4D9349E3D287}">
          <cx:tx>
            <cx:txData>
              <cx:f>_xlchart.v1.1</cx:f>
              <cx:v/>
            </cx:txData>
          </cx:tx>
          <cx:dataLabels pos="in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6FDE05C9-BF7D-4987-B309-D144380CEF6B}">
          <cx:axisId val="2"/>
        </cx:series>
      </cx:plotAreaRegion>
      <cx:axis id="0">
        <cx:catScaling gapWidth="0"/>
        <cx:tickLabels/>
      </cx:axis>
      <cx:axis id="1" hidden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167640</xdr:colOff>
      <xdr:row>5</xdr:row>
      <xdr:rowOff>156210</xdr:rowOff>
    </xdr:from>
    <xdr:to>
      <xdr:col>15</xdr:col>
      <xdr:colOff>472440</xdr:colOff>
      <xdr:row>20</xdr:row>
      <xdr:rowOff>156210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8E1A1A5-2AD2-541F-8E7A-F8E259970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259080</xdr:colOff>
      <xdr:row>1</xdr:row>
      <xdr:rowOff>106680</xdr:rowOff>
    </xdr:from>
    <xdr:to>
      <xdr:col>17</xdr:col>
      <xdr:colOff>487680</xdr:colOff>
      <xdr:row>24</xdr:row>
      <xdr:rowOff>30480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09BA10-2A1C-CA29-0B69-320C06D938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548640</xdr:colOff>
      <xdr:row>3</xdr:row>
      <xdr:rowOff>53340</xdr:rowOff>
    </xdr:from>
    <xdr:to>
      <xdr:col>12</xdr:col>
      <xdr:colOff>228600</xdr:colOff>
      <xdr:row>20</xdr:row>
      <xdr:rowOff>64770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2099C1B-BE45-8B65-70E4-C404F7B00C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00600" y="601980"/>
              <a:ext cx="5387340" cy="31203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7D5EB-6C15-4FBC-82B1-A1B32F642A33}">
  <dimension ref="C4:I7"/>
  <sheetViews>
    <sheetView workbookViewId="0">
      <selection activeCell="H5" sqref="H5"/>
    </sheetView>
  </sheetViews>
  <sheetFormatPr defaultRowHeight="14.4" x14ac:dyDescent="0.3"/>
  <sheetData>
    <row r="4" spans="3:9" x14ac:dyDescent="0.3">
      <c r="C4" t="s">
        <v>0</v>
      </c>
      <c r="D4" t="s">
        <v>4</v>
      </c>
      <c r="E4" t="s">
        <v>5</v>
      </c>
      <c r="H4" t="s">
        <v>4</v>
      </c>
      <c r="I4" t="s">
        <v>6</v>
      </c>
    </row>
    <row r="5" spans="3:9" x14ac:dyDescent="0.3">
      <c r="C5" t="s">
        <v>1</v>
      </c>
      <c r="D5">
        <v>50</v>
      </c>
      <c r="E5">
        <v>60</v>
      </c>
      <c r="G5" t="s">
        <v>2</v>
      </c>
      <c r="H5" cm="1">
        <f t="array" ref="H5">_xlfn.XLOOKUP(H4,D4:E4,_xlfn.XLOOKUP(G5,C5:C7,D5:E7))</f>
        <v>100</v>
      </c>
    </row>
    <row r="6" spans="3:9" x14ac:dyDescent="0.3">
      <c r="C6" t="s">
        <v>2</v>
      </c>
      <c r="D6">
        <v>100</v>
      </c>
      <c r="E6">
        <v>80</v>
      </c>
    </row>
    <row r="7" spans="3:9" x14ac:dyDescent="0.3">
      <c r="C7" t="s">
        <v>3</v>
      </c>
      <c r="D7">
        <v>70</v>
      </c>
      <c r="E7">
        <v>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C15F9-88B1-45A3-9867-DE336247069B}"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>
        <v>50</v>
      </c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EC850-26FF-46A5-BC1A-6E2DCF62854A}"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>
        <v>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ABAB-C01B-4FC2-8A0B-F3728253FE5A}">
  <dimension ref="A1:V5"/>
  <sheetViews>
    <sheetView workbookViewId="0">
      <selection activeCell="F19" sqref="F19"/>
    </sheetView>
  </sheetViews>
  <sheetFormatPr defaultRowHeight="14.4" x14ac:dyDescent="0.3"/>
  <cols>
    <col min="3" max="3" width="6.33203125" customWidth="1"/>
    <col min="7" max="7" width="7.109375" customWidth="1"/>
    <col min="22" max="22" width="6.44140625" customWidth="1"/>
  </cols>
  <sheetData>
    <row r="1" spans="1:22" x14ac:dyDescent="0.3">
      <c r="A1">
        <v>120</v>
      </c>
    </row>
    <row r="3" spans="1:22" x14ac:dyDescent="0.3">
      <c r="B3" t="s">
        <v>7</v>
      </c>
      <c r="C3" s="1">
        <v>1</v>
      </c>
      <c r="D3" s="1">
        <v>2</v>
      </c>
      <c r="E3" s="1">
        <v>3</v>
      </c>
      <c r="F3" s="1">
        <v>4</v>
      </c>
      <c r="G3" s="1">
        <v>5</v>
      </c>
      <c r="H3" s="1">
        <v>6</v>
      </c>
      <c r="I3" s="1">
        <v>7</v>
      </c>
      <c r="J3" s="1">
        <v>8</v>
      </c>
      <c r="K3" s="1">
        <v>9</v>
      </c>
      <c r="L3" s="1">
        <v>10</v>
      </c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x14ac:dyDescent="0.3">
      <c r="B4" t="s">
        <v>8</v>
      </c>
      <c r="C4">
        <v>2</v>
      </c>
      <c r="D4">
        <v>8</v>
      </c>
      <c r="E4">
        <v>7</v>
      </c>
      <c r="F4">
        <v>8</v>
      </c>
      <c r="G4">
        <v>12</v>
      </c>
      <c r="H4">
        <v>9</v>
      </c>
      <c r="I4">
        <v>10</v>
      </c>
      <c r="J4">
        <v>9</v>
      </c>
      <c r="K4">
        <v>7</v>
      </c>
      <c r="L4">
        <v>10</v>
      </c>
    </row>
    <row r="5" spans="1:22" x14ac:dyDescent="0.3">
      <c r="B5" t="s">
        <v>9</v>
      </c>
      <c r="C5">
        <v>4</v>
      </c>
      <c r="D5">
        <v>9</v>
      </c>
      <c r="E5">
        <v>7</v>
      </c>
      <c r="F5">
        <v>7</v>
      </c>
      <c r="G5">
        <v>10</v>
      </c>
      <c r="H5">
        <v>10</v>
      </c>
      <c r="I5">
        <v>8</v>
      </c>
      <c r="J5">
        <v>11</v>
      </c>
      <c r="K5">
        <v>7</v>
      </c>
      <c r="L5">
        <v>9</v>
      </c>
    </row>
  </sheetData>
  <dataConsolidate>
    <dataRefs count="2">
      <dataRef ref="A1" sheet="Sheet2"/>
      <dataRef ref="A1" sheet="Sheet3"/>
    </dataRefs>
  </dataConsolid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E34C8-DCB4-4098-B0A8-8FE9485944E7}">
  <dimension ref="B1:F8"/>
  <sheetViews>
    <sheetView topLeftCell="D1" workbookViewId="0">
      <selection activeCell="E4" sqref="E4"/>
    </sheetView>
  </sheetViews>
  <sheetFormatPr defaultRowHeight="14.4" x14ac:dyDescent="0.3"/>
  <cols>
    <col min="2" max="2" width="11.77734375" bestFit="1" customWidth="1"/>
    <col min="3" max="3" width="10" bestFit="1" customWidth="1"/>
  </cols>
  <sheetData>
    <row r="1" spans="2:6" x14ac:dyDescent="0.3">
      <c r="F1" t="s">
        <v>18</v>
      </c>
    </row>
    <row r="2" spans="2:6" x14ac:dyDescent="0.3">
      <c r="B2" t="s">
        <v>10</v>
      </c>
      <c r="C2" t="s">
        <v>11</v>
      </c>
    </row>
    <row r="3" spans="2:6" x14ac:dyDescent="0.3">
      <c r="B3" t="s">
        <v>12</v>
      </c>
      <c r="C3" s="2">
        <v>0.45</v>
      </c>
    </row>
    <row r="4" spans="2:6" x14ac:dyDescent="0.3">
      <c r="B4" t="s">
        <v>13</v>
      </c>
      <c r="C4" s="2">
        <v>0.35</v>
      </c>
    </row>
    <row r="5" spans="2:6" x14ac:dyDescent="0.3">
      <c r="B5" t="s">
        <v>14</v>
      </c>
      <c r="C5" s="2">
        <v>0.12</v>
      </c>
    </row>
    <row r="6" spans="2:6" x14ac:dyDescent="0.3">
      <c r="B6" t="s">
        <v>15</v>
      </c>
      <c r="C6" s="2">
        <v>0.01</v>
      </c>
    </row>
    <row r="7" spans="2:6" x14ac:dyDescent="0.3">
      <c r="B7" t="s">
        <v>16</v>
      </c>
      <c r="C7" s="2">
        <v>0.05</v>
      </c>
    </row>
    <row r="8" spans="2:6" x14ac:dyDescent="0.3">
      <c r="B8" t="s">
        <v>17</v>
      </c>
      <c r="C8" s="2">
        <v>0.02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2B09-1892-410D-A524-22B7A2D50997}">
  <dimension ref="C3:G12"/>
  <sheetViews>
    <sheetView workbookViewId="0">
      <selection activeCell="C4" sqref="C4"/>
    </sheetView>
  </sheetViews>
  <sheetFormatPr defaultRowHeight="14.4" x14ac:dyDescent="0.3"/>
  <cols>
    <col min="1" max="1" width="11.88671875" bestFit="1" customWidth="1"/>
    <col min="3" max="3" width="13.21875" bestFit="1" customWidth="1"/>
    <col min="4" max="4" width="13.6640625" bestFit="1" customWidth="1"/>
    <col min="5" max="5" width="14.33203125" bestFit="1" customWidth="1"/>
    <col min="6" max="6" width="29.88671875" bestFit="1" customWidth="1"/>
  </cols>
  <sheetData>
    <row r="3" spans="3:7" x14ac:dyDescent="0.3">
      <c r="E3" s="3"/>
      <c r="F3" s="3"/>
      <c r="G3" s="3"/>
    </row>
    <row r="4" spans="3:7" x14ac:dyDescent="0.3">
      <c r="C4" t="s">
        <v>19</v>
      </c>
      <c r="G4" s="3"/>
    </row>
    <row r="5" spans="3:7" x14ac:dyDescent="0.3">
      <c r="C5" s="4" t="s">
        <v>22</v>
      </c>
      <c r="D5" s="4">
        <v>146</v>
      </c>
      <c r="G5" s="3"/>
    </row>
    <row r="6" spans="3:7" x14ac:dyDescent="0.3">
      <c r="C6" s="4" t="s">
        <v>20</v>
      </c>
      <c r="D6" s="4">
        <v>141</v>
      </c>
      <c r="G6" s="3"/>
    </row>
    <row r="7" spans="3:7" x14ac:dyDescent="0.3">
      <c r="C7" s="4" t="s">
        <v>23</v>
      </c>
      <c r="D7" s="4">
        <v>34</v>
      </c>
      <c r="G7" s="3"/>
    </row>
    <row r="8" spans="3:7" x14ac:dyDescent="0.3">
      <c r="C8" s="4" t="s">
        <v>24</v>
      </c>
      <c r="D8" s="4">
        <v>69</v>
      </c>
      <c r="G8" s="3"/>
    </row>
    <row r="9" spans="3:7" x14ac:dyDescent="0.3">
      <c r="C9" s="4" t="s">
        <v>21</v>
      </c>
      <c r="D9" s="4">
        <v>123</v>
      </c>
      <c r="G9" s="3"/>
    </row>
    <row r="10" spans="3:7" x14ac:dyDescent="0.3">
      <c r="C10" s="4" t="s">
        <v>25</v>
      </c>
      <c r="D10" s="4">
        <v>28</v>
      </c>
      <c r="G10" s="3"/>
    </row>
    <row r="11" spans="3:7" x14ac:dyDescent="0.3">
      <c r="C11" s="4" t="s">
        <v>26</v>
      </c>
      <c r="D11" s="4">
        <v>64</v>
      </c>
      <c r="G11" s="3"/>
    </row>
    <row r="12" spans="3:7" x14ac:dyDescent="0.3">
      <c r="C12" s="4" t="s">
        <v>27</v>
      </c>
      <c r="D12" s="4">
        <v>144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8E328-A995-4547-A62B-5A50F3AD478A}">
  <dimension ref="B2:G10"/>
  <sheetViews>
    <sheetView tabSelected="1" workbookViewId="0">
      <selection activeCell="E10" sqref="E10"/>
    </sheetView>
  </sheetViews>
  <sheetFormatPr defaultRowHeight="14.4" x14ac:dyDescent="0.3"/>
  <cols>
    <col min="4" max="4" width="15.44140625" bestFit="1" customWidth="1"/>
    <col min="7" max="7" width="11.5546875" bestFit="1" customWidth="1"/>
  </cols>
  <sheetData>
    <row r="2" spans="2:7" x14ac:dyDescent="0.3">
      <c r="B2" t="s">
        <v>28</v>
      </c>
      <c r="D2" s="5">
        <v>37644</v>
      </c>
      <c r="F2">
        <v>1</v>
      </c>
      <c r="G2" t="s">
        <v>29</v>
      </c>
    </row>
    <row r="3" spans="2:7" x14ac:dyDescent="0.3">
      <c r="F3">
        <v>2</v>
      </c>
      <c r="G3" t="s">
        <v>30</v>
      </c>
    </row>
    <row r="4" spans="2:7" x14ac:dyDescent="0.3">
      <c r="D4" t="str">
        <f>VLOOKUP(WEEKDAY(D2),F2:G8,2,FALSE)</f>
        <v>THURSDAY</v>
      </c>
      <c r="F4">
        <v>3</v>
      </c>
      <c r="G4" t="s">
        <v>31</v>
      </c>
    </row>
    <row r="5" spans="2:7" x14ac:dyDescent="0.3">
      <c r="F5">
        <v>4</v>
      </c>
      <c r="G5" t="s">
        <v>32</v>
      </c>
    </row>
    <row r="6" spans="2:7" x14ac:dyDescent="0.3">
      <c r="B6" t="s">
        <v>36</v>
      </c>
      <c r="D6" s="6">
        <f ca="1">NOW()</f>
        <v>46010.62914178241</v>
      </c>
      <c r="F6">
        <v>5</v>
      </c>
      <c r="G6" t="s">
        <v>33</v>
      </c>
    </row>
    <row r="7" spans="2:7" x14ac:dyDescent="0.3">
      <c r="B7" t="s">
        <v>37</v>
      </c>
      <c r="D7" s="5">
        <f ca="1">NOW()</f>
        <v>46010.62914178241</v>
      </c>
      <c r="F7">
        <v>6</v>
      </c>
      <c r="G7" t="s">
        <v>34</v>
      </c>
    </row>
    <row r="8" spans="2:7" x14ac:dyDescent="0.3">
      <c r="F8">
        <v>7</v>
      </c>
      <c r="G8" t="s">
        <v>35</v>
      </c>
    </row>
    <row r="9" spans="2:7" x14ac:dyDescent="0.3">
      <c r="D9">
        <f ca="1">D7-D2</f>
        <v>8366.6291417824104</v>
      </c>
      <c r="E9">
        <f ca="1">D6-D2</f>
        <v>8366.6291417824104</v>
      </c>
    </row>
    <row r="10" spans="2:7" x14ac:dyDescent="0.3">
      <c r="D10">
        <f ca="1">D9/365</f>
        <v>22.922271621321674</v>
      </c>
      <c r="E10">
        <f ca="1">E9/365</f>
        <v>22.922271621321674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XLOOKUP</vt:lpstr>
      <vt:lpstr>Sheet2</vt:lpstr>
      <vt:lpstr>Sheet3</vt:lpstr>
      <vt:lpstr>Sheet4</vt:lpstr>
      <vt:lpstr>Sheet8</vt:lpstr>
      <vt:lpstr>Sheet9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Parthiban sanjai</dc:creator>
  <cp:lastModifiedBy>Parthiban sanjai</cp:lastModifiedBy>
  <dcterms:created xsi:type="dcterms:W3CDTF">2025-12-18T09:25:28Z</dcterms:created>
  <dcterms:modified xsi:type="dcterms:W3CDTF">2025-12-19T09:36:05Z</dcterms:modified>
</cp:coreProperties>
</file>