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cb00cd48f2e822/Desktop/JDA/day12/"/>
    </mc:Choice>
  </mc:AlternateContent>
  <xr:revisionPtr revIDLastSave="504" documentId="8_{1814064A-70C3-479E-B859-0EE7189A3E1C}" xr6:coauthVersionLast="47" xr6:coauthVersionMax="47" xr10:uidLastSave="{85D402A6-FA0D-4551-A158-340F49591572}"/>
  <bookViews>
    <workbookView xWindow="-108" yWindow="-108" windowWidth="23256" windowHeight="12456" activeTab="1" xr2:uid="{22B039B6-E36E-49DB-AAE4-58FE8E911104}"/>
  </bookViews>
  <sheets>
    <sheet name="Sheet1" sheetId="1" r:id="rId1"/>
    <sheet name="Sheet2" sheetId="3" r:id="rId2"/>
  </sheets>
  <definedNames>
    <definedName name="IR">Sheet2!$C$3</definedName>
    <definedName name="NOY">Sheet2!$C$4</definedName>
    <definedName name="PR">Sheet2!$C$2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3" l="1"/>
  <c r="D2" i="3"/>
  <c r="E10" i="1"/>
  <c r="G10" i="1" s="1"/>
  <c r="H10" i="1" s="1"/>
  <c r="D11" i="1" s="1"/>
  <c r="E11" i="1" s="1"/>
  <c r="H7" i="3"/>
  <c r="H6" i="3"/>
  <c r="C6" i="3"/>
  <c r="Q4" i="1"/>
  <c r="R4" i="1" s="1"/>
  <c r="O3" i="1"/>
  <c r="O5" i="1" s="1"/>
  <c r="P5" i="1" s="1"/>
  <c r="L10" i="1"/>
  <c r="P4" i="1"/>
  <c r="C5" i="1"/>
  <c r="E7" i="3" l="1"/>
  <c r="M11" i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Q5" i="1"/>
  <c r="R5" i="1" s="1"/>
  <c r="P3" i="1"/>
  <c r="Q3" i="1" s="1"/>
  <c r="R3" i="1" s="1"/>
  <c r="N10" i="1"/>
  <c r="O10" i="1" s="1"/>
  <c r="K11" i="1" s="1"/>
  <c r="L11" i="1" s="1"/>
  <c r="N11" i="1" s="1"/>
  <c r="M32" i="1"/>
  <c r="M33" i="1" s="1"/>
  <c r="M34" i="1" s="1"/>
  <c r="M35" i="1" s="1"/>
  <c r="M36" i="1" s="1"/>
  <c r="M37" i="1" s="1"/>
  <c r="G11" i="1"/>
  <c r="H11" i="1" l="1"/>
  <c r="D12" i="1" s="1"/>
  <c r="E12" i="1" s="1"/>
  <c r="G12" i="1" s="1"/>
  <c r="H12" i="1" s="1"/>
  <c r="D13" i="1" s="1"/>
  <c r="M38" i="1"/>
  <c r="O11" i="1"/>
  <c r="K12" i="1" s="1"/>
  <c r="M39" i="1" l="1"/>
  <c r="L12" i="1"/>
  <c r="N12" i="1" s="1"/>
  <c r="O12" i="1" s="1"/>
  <c r="K13" i="1" s="1"/>
  <c r="E13" i="1"/>
  <c r="G13" i="1" s="1"/>
  <c r="H13" i="1" s="1"/>
  <c r="D14" i="1" s="1"/>
  <c r="M40" i="1" l="1"/>
  <c r="M41" i="1" s="1"/>
  <c r="M42" i="1" s="1"/>
  <c r="M43" i="1" s="1"/>
  <c r="M44" i="1" s="1"/>
  <c r="M45" i="1" s="1"/>
  <c r="L13" i="1"/>
  <c r="N13" i="1" s="1"/>
  <c r="O13" i="1" s="1"/>
  <c r="K14" i="1" s="1"/>
  <c r="E14" i="1"/>
  <c r="G14" i="1" s="1"/>
  <c r="H14" i="1" s="1"/>
  <c r="D15" i="1" s="1"/>
  <c r="E15" i="1" s="1"/>
  <c r="G15" i="1" s="1"/>
  <c r="H15" i="1" s="1"/>
  <c r="D16" i="1" s="1"/>
  <c r="L14" i="1" l="1"/>
  <c r="N14" i="1" s="1"/>
  <c r="O14" i="1" s="1"/>
  <c r="K15" i="1" s="1"/>
  <c r="E16" i="1"/>
  <c r="G16" i="1" s="1"/>
  <c r="H16" i="1" s="1"/>
  <c r="D17" i="1" s="1"/>
  <c r="L15" i="1" l="1"/>
  <c r="N15" i="1" s="1"/>
  <c r="O15" i="1" s="1"/>
  <c r="K16" i="1" s="1"/>
  <c r="E17" i="1"/>
  <c r="G17" i="1" s="1"/>
  <c r="H17" i="1" s="1"/>
  <c r="D18" i="1" s="1"/>
  <c r="E18" i="1" s="1"/>
  <c r="G18" i="1" s="1"/>
  <c r="H18" i="1" s="1"/>
  <c r="D19" i="1" s="1"/>
  <c r="L16" i="1" l="1"/>
  <c r="N16" i="1" s="1"/>
  <c r="O16" i="1" s="1"/>
  <c r="K17" i="1" s="1"/>
  <c r="E19" i="1"/>
  <c r="G19" i="1" s="1"/>
  <c r="H19" i="1" s="1"/>
  <c r="D20" i="1" s="1"/>
  <c r="E20" i="1" l="1"/>
  <c r="G20" i="1" s="1"/>
  <c r="H20" i="1" s="1"/>
  <c r="D21" i="1" s="1"/>
  <c r="E21" i="1" s="1"/>
  <c r="G21" i="1" s="1"/>
  <c r="H21" i="1" s="1"/>
  <c r="D22" i="1" s="1"/>
  <c r="E22" i="1" s="1"/>
  <c r="G22" i="1" s="1"/>
  <c r="H22" i="1" s="1"/>
  <c r="D23" i="1" s="1"/>
  <c r="E23" i="1" s="1"/>
  <c r="G23" i="1" s="1"/>
  <c r="H23" i="1" s="1"/>
  <c r="D24" i="1" s="1"/>
  <c r="E24" i="1" s="1"/>
  <c r="G24" i="1" s="1"/>
  <c r="H24" i="1" s="1"/>
  <c r="D25" i="1" s="1"/>
  <c r="E25" i="1" s="1"/>
  <c r="G25" i="1" s="1"/>
  <c r="H25" i="1" s="1"/>
  <c r="D26" i="1" s="1"/>
  <c r="E26" i="1" s="1"/>
  <c r="G26" i="1" s="1"/>
  <c r="H26" i="1" s="1"/>
  <c r="D27" i="1" s="1"/>
  <c r="L17" i="1"/>
  <c r="N17" i="1" s="1"/>
  <c r="O17" i="1" s="1"/>
  <c r="K18" i="1" s="1"/>
  <c r="E27" i="1" l="1"/>
  <c r="G27" i="1" s="1"/>
  <c r="H27" i="1" s="1"/>
  <c r="D28" i="1" s="1"/>
  <c r="L18" i="1"/>
  <c r="N18" i="1" s="1"/>
  <c r="O18" i="1" s="1"/>
  <c r="K19" i="1" s="1"/>
  <c r="E28" i="1" l="1"/>
  <c r="G28" i="1" s="1"/>
  <c r="H28" i="1" s="1"/>
  <c r="D29" i="1" s="1"/>
  <c r="E29" i="1" s="1"/>
  <c r="G29" i="1" s="1"/>
  <c r="H29" i="1" s="1"/>
  <c r="D30" i="1" s="1"/>
  <c r="L19" i="1"/>
  <c r="N19" i="1" s="1"/>
  <c r="O19" i="1" s="1"/>
  <c r="K20" i="1" s="1"/>
  <c r="E30" i="1" l="1"/>
  <c r="G30" i="1" s="1"/>
  <c r="H30" i="1" s="1"/>
  <c r="D31" i="1" s="1"/>
  <c r="E31" i="1" s="1"/>
  <c r="G31" i="1" s="1"/>
  <c r="H31" i="1" s="1"/>
  <c r="D32" i="1" s="1"/>
  <c r="L20" i="1"/>
  <c r="N20" i="1" s="1"/>
  <c r="O20" i="1" s="1"/>
  <c r="K21" i="1" s="1"/>
  <c r="L21" i="1" l="1"/>
  <c r="N21" i="1" s="1"/>
  <c r="O21" i="1" s="1"/>
  <c r="K22" i="1" s="1"/>
  <c r="E32" i="1"/>
  <c r="G32" i="1" s="1"/>
  <c r="H32" i="1" s="1"/>
  <c r="D33" i="1" s="1"/>
  <c r="L22" i="1" l="1"/>
  <c r="N22" i="1" s="1"/>
  <c r="O22" i="1" s="1"/>
  <c r="K23" i="1" s="1"/>
  <c r="E33" i="1"/>
  <c r="G33" i="1" s="1"/>
  <c r="H33" i="1" s="1"/>
  <c r="D34" i="1" s="1"/>
  <c r="L23" i="1" l="1"/>
  <c r="N23" i="1" s="1"/>
  <c r="O23" i="1" s="1"/>
  <c r="K24" i="1" s="1"/>
  <c r="E34" i="1"/>
  <c r="G34" i="1" s="1"/>
  <c r="H34" i="1" s="1"/>
  <c r="D35" i="1" s="1"/>
  <c r="L24" i="1" l="1"/>
  <c r="N24" i="1" s="1"/>
  <c r="O24" i="1" s="1"/>
  <c r="K25" i="1" s="1"/>
  <c r="E35" i="1"/>
  <c r="G35" i="1" s="1"/>
  <c r="H35" i="1" s="1"/>
  <c r="D36" i="1" s="1"/>
  <c r="L25" i="1" l="1"/>
  <c r="N25" i="1" s="1"/>
  <c r="O25" i="1" s="1"/>
  <c r="K26" i="1" s="1"/>
  <c r="E36" i="1"/>
  <c r="G36" i="1" s="1"/>
  <c r="H36" i="1" s="1"/>
  <c r="D37" i="1" s="1"/>
  <c r="L26" i="1" l="1"/>
  <c r="N26" i="1" s="1"/>
  <c r="O26" i="1" s="1"/>
  <c r="K27" i="1" s="1"/>
  <c r="E37" i="1"/>
  <c r="G37" i="1" s="1"/>
  <c r="H37" i="1" s="1"/>
  <c r="D38" i="1" s="1"/>
  <c r="L27" i="1" l="1"/>
  <c r="N27" i="1" s="1"/>
  <c r="O27" i="1" s="1"/>
  <c r="E38" i="1"/>
  <c r="G38" i="1" s="1"/>
  <c r="H38" i="1" s="1"/>
  <c r="D39" i="1" s="1"/>
  <c r="K28" i="1" l="1"/>
  <c r="L28" i="1" s="1"/>
  <c r="N28" i="1" s="1"/>
  <c r="O28" i="1" s="1"/>
  <c r="K29" i="1" s="1"/>
  <c r="L29" i="1" s="1"/>
  <c r="N29" i="1" s="1"/>
  <c r="E39" i="1"/>
  <c r="G39" i="1" s="1"/>
  <c r="H39" i="1" s="1"/>
  <c r="D40" i="1" s="1"/>
  <c r="O29" i="1" l="1"/>
  <c r="K30" i="1" s="1"/>
  <c r="L30" i="1" s="1"/>
  <c r="N30" i="1" s="1"/>
  <c r="O30" i="1" s="1"/>
  <c r="K31" i="1" s="1"/>
  <c r="L31" i="1" s="1"/>
  <c r="N31" i="1" s="1"/>
  <c r="O31" i="1" s="1"/>
  <c r="K32" i="1" s="1"/>
  <c r="E40" i="1"/>
  <c r="G40" i="1" s="1"/>
  <c r="H40" i="1" s="1"/>
  <c r="D41" i="1" s="1"/>
  <c r="L32" i="1" l="1"/>
  <c r="N32" i="1" s="1"/>
  <c r="O32" i="1" s="1"/>
  <c r="K33" i="1" s="1"/>
  <c r="E41" i="1"/>
  <c r="G41" i="1" s="1"/>
  <c r="H41" i="1" s="1"/>
  <c r="D42" i="1" s="1"/>
  <c r="L33" i="1" l="1"/>
  <c r="N33" i="1" s="1"/>
  <c r="O33" i="1" s="1"/>
  <c r="K34" i="1" s="1"/>
  <c r="E42" i="1"/>
  <c r="G42" i="1" s="1"/>
  <c r="H42" i="1" s="1"/>
  <c r="D43" i="1" s="1"/>
  <c r="L34" i="1" l="1"/>
  <c r="N34" i="1" s="1"/>
  <c r="O34" i="1" s="1"/>
  <c r="K35" i="1" s="1"/>
  <c r="E43" i="1"/>
  <c r="G43" i="1" s="1"/>
  <c r="H43" i="1" s="1"/>
  <c r="D44" i="1" s="1"/>
  <c r="L35" i="1" l="1"/>
  <c r="N35" i="1" s="1"/>
  <c r="O35" i="1" s="1"/>
  <c r="K36" i="1" s="1"/>
  <c r="L36" i="1" s="1"/>
  <c r="N36" i="1" s="1"/>
  <c r="O36" i="1" s="1"/>
  <c r="K37" i="1" s="1"/>
  <c r="L37" i="1" s="1"/>
  <c r="N37" i="1" s="1"/>
  <c r="O37" i="1" s="1"/>
  <c r="K38" i="1" s="1"/>
  <c r="L38" i="1" s="1"/>
  <c r="N38" i="1" s="1"/>
  <c r="O38" i="1" s="1"/>
  <c r="K39" i="1" s="1"/>
  <c r="L39" i="1" s="1"/>
  <c r="N39" i="1" s="1"/>
  <c r="O39" i="1" s="1"/>
  <c r="K40" i="1" s="1"/>
  <c r="L40" i="1" s="1"/>
  <c r="N40" i="1" s="1"/>
  <c r="O40" i="1" s="1"/>
  <c r="K41" i="1" s="1"/>
  <c r="E44" i="1"/>
  <c r="G44" i="1" s="1"/>
  <c r="H44" i="1" s="1"/>
  <c r="D45" i="1" s="1"/>
  <c r="L41" i="1" l="1"/>
  <c r="N41" i="1" s="1"/>
  <c r="O41" i="1" s="1"/>
  <c r="K42" i="1" s="1"/>
  <c r="E45" i="1"/>
  <c r="L42" i="1" l="1"/>
  <c r="N42" i="1" s="1"/>
  <c r="O42" i="1" s="1"/>
  <c r="K43" i="1" s="1"/>
  <c r="L43" i="1" s="1"/>
  <c r="N43" i="1" s="1"/>
  <c r="O43" i="1" s="1"/>
  <c r="K44" i="1" s="1"/>
  <c r="G45" i="1"/>
  <c r="H45" i="1" s="1"/>
  <c r="E46" i="1"/>
  <c r="L44" i="1" l="1"/>
  <c r="N44" i="1" s="1"/>
  <c r="O44" i="1" s="1"/>
  <c r="K45" i="1" s="1"/>
  <c r="L45" i="1" l="1"/>
  <c r="N45" i="1" s="1"/>
  <c r="O45" i="1" s="1"/>
</calcChain>
</file>

<file path=xl/sharedStrings.xml><?xml version="1.0" encoding="utf-8"?>
<sst xmlns="http://schemas.openxmlformats.org/spreadsheetml/2006/main" count="29" uniqueCount="22">
  <si>
    <t xml:space="preserve">ACCURATE INTEREST RATE </t>
  </si>
  <si>
    <t>monthy due</t>
  </si>
  <si>
    <t>total duration no. of months</t>
  </si>
  <si>
    <t xml:space="preserve">INTEREST RATE: </t>
  </si>
  <si>
    <t>loan amount</t>
  </si>
  <si>
    <t>s.no</t>
  </si>
  <si>
    <t>laon amt</t>
  </si>
  <si>
    <t>interest amt</t>
  </si>
  <si>
    <t>intere rate</t>
  </si>
  <si>
    <t xml:space="preserve">per hour </t>
  </si>
  <si>
    <t>hour</t>
  </si>
  <si>
    <t>principle amt</t>
  </si>
  <si>
    <t>balance amt</t>
  </si>
  <si>
    <t>monthly paid</t>
  </si>
  <si>
    <t>inr</t>
  </si>
  <si>
    <t>eur</t>
  </si>
  <si>
    <t>princple/ loan amount</t>
  </si>
  <si>
    <t>interset rate</t>
  </si>
  <si>
    <t>no.of years</t>
  </si>
  <si>
    <t>simple interest</t>
  </si>
  <si>
    <t>compund interest</t>
  </si>
  <si>
    <t>INTERST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</si>
</sst>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9" fontId="0" fillId="0" borderId="0" xfId="0" applyNumberFormat="1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1D6C2-5620-4CAB-9875-E358BFEC3450}">
  <dimension ref="B1:R46"/>
  <sheetViews>
    <sheetView topLeftCell="B1" workbookViewId="0">
      <selection activeCell="E10" sqref="E10"/>
    </sheetView>
  </sheetViews>
  <sheetFormatPr defaultRowHeight="14.4" x14ac:dyDescent="0.3"/>
  <cols>
    <col min="2" max="2" width="24.44140625" bestFit="1" customWidth="1"/>
    <col min="4" max="5" width="10.44140625" bestFit="1" customWidth="1"/>
    <col min="6" max="6" width="11.5546875" bestFit="1" customWidth="1"/>
    <col min="7" max="7" width="12.109375" bestFit="1" customWidth="1"/>
    <col min="8" max="8" width="11" bestFit="1" customWidth="1"/>
    <col min="9" max="9" width="10.6640625" bestFit="1" customWidth="1"/>
    <col min="11" max="11" width="13.6640625" bestFit="1" customWidth="1"/>
    <col min="12" max="12" width="10.88671875" bestFit="1" customWidth="1"/>
    <col min="13" max="14" width="12.5546875" bestFit="1" customWidth="1"/>
    <col min="15" max="15" width="13.6640625" bestFit="1" customWidth="1"/>
  </cols>
  <sheetData>
    <row r="1" spans="2:18" x14ac:dyDescent="0.3">
      <c r="F1" s="7" t="s">
        <v>21</v>
      </c>
      <c r="G1" s="7"/>
      <c r="H1" s="7"/>
      <c r="I1" s="7"/>
      <c r="J1" s="7"/>
      <c r="K1" s="7"/>
    </row>
    <row r="2" spans="2:18" x14ac:dyDescent="0.3">
      <c r="B2" s="6" t="s">
        <v>0</v>
      </c>
      <c r="C2" s="6"/>
      <c r="D2" s="6"/>
      <c r="E2" s="6"/>
      <c r="F2" s="6"/>
      <c r="G2" s="6"/>
      <c r="M2" t="s">
        <v>9</v>
      </c>
      <c r="N2" t="s">
        <v>10</v>
      </c>
      <c r="O2" t="s">
        <v>15</v>
      </c>
      <c r="P2" t="s">
        <v>14</v>
      </c>
    </row>
    <row r="3" spans="2:18" x14ac:dyDescent="0.3">
      <c r="B3" t="s">
        <v>4</v>
      </c>
      <c r="C3">
        <v>1200000</v>
      </c>
      <c r="D3" s="2">
        <v>50000</v>
      </c>
      <c r="M3">
        <v>10</v>
      </c>
      <c r="N3">
        <v>100</v>
      </c>
      <c r="O3">
        <f>M3*N3</f>
        <v>1000</v>
      </c>
      <c r="P3">
        <f>O3*106.55</f>
        <v>106550</v>
      </c>
      <c r="Q3">
        <f>P3*12</f>
        <v>1278600</v>
      </c>
      <c r="R3">
        <f>Q3*3</f>
        <v>3835800</v>
      </c>
    </row>
    <row r="4" spans="2:18" x14ac:dyDescent="0.3">
      <c r="B4" t="s">
        <v>1</v>
      </c>
      <c r="C4">
        <v>20000</v>
      </c>
      <c r="D4" s="2">
        <v>1845</v>
      </c>
      <c r="G4" t="s">
        <v>8</v>
      </c>
      <c r="H4">
        <v>2.2000000000000002</v>
      </c>
      <c r="I4" t="s">
        <v>1</v>
      </c>
      <c r="J4">
        <v>3795</v>
      </c>
      <c r="O4">
        <v>500</v>
      </c>
      <c r="P4">
        <f t="shared" ref="P4" si="0">O4*106.55</f>
        <v>53275</v>
      </c>
      <c r="Q4">
        <f t="shared" ref="Q4" si="1">P4*12</f>
        <v>639300</v>
      </c>
      <c r="R4">
        <f t="shared" ref="R4:R5" si="2">Q4*3</f>
        <v>1917900</v>
      </c>
    </row>
    <row r="5" spans="2:18" x14ac:dyDescent="0.3">
      <c r="B5" t="s">
        <v>2</v>
      </c>
      <c r="C5">
        <f>C3/C4</f>
        <v>60</v>
      </c>
      <c r="D5">
        <v>36</v>
      </c>
      <c r="H5">
        <v>1</v>
      </c>
      <c r="O5">
        <f>O3-O4-200</f>
        <v>300</v>
      </c>
      <c r="P5">
        <f>O5*106.55</f>
        <v>31965</v>
      </c>
      <c r="Q5">
        <f>P5*12</f>
        <v>383580</v>
      </c>
      <c r="R5">
        <f t="shared" si="2"/>
        <v>1150740</v>
      </c>
    </row>
    <row r="6" spans="2:18" x14ac:dyDescent="0.3">
      <c r="B6" t="s">
        <v>3</v>
      </c>
      <c r="D6" s="1"/>
      <c r="K6">
        <v>2959</v>
      </c>
      <c r="L6">
        <v>836</v>
      </c>
    </row>
    <row r="9" spans="2:18" x14ac:dyDescent="0.3">
      <c r="C9" s="3" t="s">
        <v>5</v>
      </c>
      <c r="D9" s="3" t="s">
        <v>6</v>
      </c>
      <c r="E9" s="3" t="s">
        <v>7</v>
      </c>
      <c r="F9" s="3" t="s">
        <v>13</v>
      </c>
      <c r="G9" s="3" t="s">
        <v>11</v>
      </c>
      <c r="H9" s="3" t="s">
        <v>12</v>
      </c>
      <c r="J9" s="3" t="s">
        <v>5</v>
      </c>
      <c r="K9" s="3" t="s">
        <v>6</v>
      </c>
      <c r="L9" s="3" t="s">
        <v>7</v>
      </c>
      <c r="M9" s="3" t="s">
        <v>13</v>
      </c>
      <c r="N9" s="3" t="s">
        <v>11</v>
      </c>
      <c r="O9" s="3" t="s">
        <v>12</v>
      </c>
    </row>
    <row r="10" spans="2:18" x14ac:dyDescent="0.3">
      <c r="C10" s="3">
        <v>1</v>
      </c>
      <c r="D10" s="4">
        <v>70000</v>
      </c>
      <c r="E10" s="4">
        <f>D10*$H$4/100</f>
        <v>1540</v>
      </c>
      <c r="F10" s="3">
        <v>3795</v>
      </c>
      <c r="G10" s="4">
        <f>F10-E10</f>
        <v>2255</v>
      </c>
      <c r="H10" s="4">
        <f>D10-G10</f>
        <v>67745</v>
      </c>
      <c r="J10" s="3">
        <v>1</v>
      </c>
      <c r="K10" s="4">
        <v>1200000</v>
      </c>
      <c r="L10" s="4">
        <f>K10*$H$5/100</f>
        <v>12000</v>
      </c>
      <c r="M10" s="4">
        <v>39857.171775421441</v>
      </c>
      <c r="N10" s="4">
        <f>M10-L10</f>
        <v>27857.171775421441</v>
      </c>
      <c r="O10" s="4">
        <f>K10-N10</f>
        <v>1172142.8282245786</v>
      </c>
    </row>
    <row r="11" spans="2:18" x14ac:dyDescent="0.3">
      <c r="C11" s="3">
        <v>2</v>
      </c>
      <c r="D11" s="4">
        <f>H10</f>
        <v>67745</v>
      </c>
      <c r="E11" s="4">
        <f t="shared" ref="E11:E19" si="3">D11*$H$4/100</f>
        <v>1490.39</v>
      </c>
      <c r="F11" s="3">
        <v>3795</v>
      </c>
      <c r="G11" s="4">
        <f t="shared" ref="G11:G19" si="4">F11-E11</f>
        <v>2304.6099999999997</v>
      </c>
      <c r="H11" s="4">
        <f t="shared" ref="H11:H19" si="5">D11-G11</f>
        <v>65440.39</v>
      </c>
      <c r="J11" s="3">
        <v>2</v>
      </c>
      <c r="K11" s="4">
        <f>O10</f>
        <v>1172142.8282245786</v>
      </c>
      <c r="L11" s="4">
        <f t="shared" ref="L11:L45" si="6">K11*$H$5/100</f>
        <v>11721.428282245786</v>
      </c>
      <c r="M11" s="4">
        <f>M10</f>
        <v>39857.171775421441</v>
      </c>
      <c r="N11" s="4">
        <f>M11-L11</f>
        <v>28135.743493175654</v>
      </c>
      <c r="O11" s="4">
        <f>K11-N11</f>
        <v>1144007.084731403</v>
      </c>
    </row>
    <row r="12" spans="2:18" x14ac:dyDescent="0.3">
      <c r="C12" s="3">
        <v>3</v>
      </c>
      <c r="D12" s="4">
        <f t="shared" ref="D12:D20" si="7">H11</f>
        <v>65440.39</v>
      </c>
      <c r="E12" s="4">
        <f t="shared" si="3"/>
        <v>1439.68858</v>
      </c>
      <c r="F12" s="3">
        <v>3795</v>
      </c>
      <c r="G12" s="4">
        <f t="shared" si="4"/>
        <v>2355.31142</v>
      </c>
      <c r="H12" s="4">
        <f t="shared" si="5"/>
        <v>63085.078580000001</v>
      </c>
      <c r="J12" s="3">
        <v>3</v>
      </c>
      <c r="K12" s="4">
        <f t="shared" ref="K12:K27" si="8">O11</f>
        <v>1144007.084731403</v>
      </c>
      <c r="L12" s="4">
        <f t="shared" si="6"/>
        <v>11440.070847314031</v>
      </c>
      <c r="M12" s="4">
        <f t="shared" ref="M12:M27" si="9">M11</f>
        <v>39857.171775421441</v>
      </c>
      <c r="N12" s="4">
        <f t="shared" ref="N12:N27" si="10">M12-L12</f>
        <v>28417.100928107408</v>
      </c>
      <c r="O12" s="4">
        <f t="shared" ref="O12:O26" si="11">K12-N12</f>
        <v>1115589.9838032955</v>
      </c>
    </row>
    <row r="13" spans="2:18" x14ac:dyDescent="0.3">
      <c r="C13" s="3">
        <v>4</v>
      </c>
      <c r="D13" s="4">
        <f t="shared" si="7"/>
        <v>63085.078580000001</v>
      </c>
      <c r="E13" s="4">
        <f t="shared" si="3"/>
        <v>1387.8717287600002</v>
      </c>
      <c r="F13" s="3">
        <v>3795</v>
      </c>
      <c r="G13" s="4">
        <f t="shared" si="4"/>
        <v>2407.1282712399998</v>
      </c>
      <c r="H13" s="4">
        <f t="shared" si="5"/>
        <v>60677.950308760002</v>
      </c>
      <c r="J13" s="3">
        <v>4</v>
      </c>
      <c r="K13" s="4">
        <f t="shared" si="8"/>
        <v>1115589.9838032955</v>
      </c>
      <c r="L13" s="4">
        <f t="shared" si="6"/>
        <v>11155.899838032956</v>
      </c>
      <c r="M13" s="4">
        <f t="shared" si="9"/>
        <v>39857.171775421441</v>
      </c>
      <c r="N13" s="4">
        <f t="shared" si="10"/>
        <v>28701.271937388483</v>
      </c>
      <c r="O13" s="4">
        <f t="shared" si="11"/>
        <v>1086888.7118659071</v>
      </c>
    </row>
    <row r="14" spans="2:18" x14ac:dyDescent="0.3">
      <c r="C14" s="3">
        <v>5</v>
      </c>
      <c r="D14" s="4">
        <f t="shared" si="7"/>
        <v>60677.950308760002</v>
      </c>
      <c r="E14" s="4">
        <f t="shared" si="3"/>
        <v>1334.9149067927201</v>
      </c>
      <c r="F14" s="3">
        <v>3795</v>
      </c>
      <c r="G14" s="4">
        <f t="shared" si="4"/>
        <v>2460.0850932072799</v>
      </c>
      <c r="H14" s="4">
        <f t="shared" si="5"/>
        <v>58217.865215552723</v>
      </c>
      <c r="J14" s="3">
        <v>5</v>
      </c>
      <c r="K14" s="4">
        <f t="shared" si="8"/>
        <v>1086888.7118659071</v>
      </c>
      <c r="L14" s="4">
        <f t="shared" si="6"/>
        <v>10868.887118659071</v>
      </c>
      <c r="M14" s="4">
        <f t="shared" si="9"/>
        <v>39857.171775421441</v>
      </c>
      <c r="N14" s="4">
        <f t="shared" si="10"/>
        <v>28988.284656762371</v>
      </c>
      <c r="O14" s="4">
        <f t="shared" si="11"/>
        <v>1057900.4272091447</v>
      </c>
    </row>
    <row r="15" spans="2:18" x14ac:dyDescent="0.3">
      <c r="C15" s="3">
        <v>6</v>
      </c>
      <c r="D15" s="4">
        <f t="shared" si="7"/>
        <v>58217.865215552723</v>
      </c>
      <c r="E15" s="4">
        <f t="shared" si="3"/>
        <v>1280.79303474216</v>
      </c>
      <c r="F15" s="3">
        <v>3795</v>
      </c>
      <c r="G15" s="4">
        <f t="shared" si="4"/>
        <v>2514.2069652578402</v>
      </c>
      <c r="H15" s="4">
        <f t="shared" si="5"/>
        <v>55703.65825029488</v>
      </c>
      <c r="J15" s="3">
        <v>6</v>
      </c>
      <c r="K15" s="4">
        <f t="shared" si="8"/>
        <v>1057900.4272091447</v>
      </c>
      <c r="L15" s="4">
        <f t="shared" si="6"/>
        <v>10579.004272091446</v>
      </c>
      <c r="M15" s="4">
        <f t="shared" si="9"/>
        <v>39857.171775421441</v>
      </c>
      <c r="N15" s="4">
        <f t="shared" si="10"/>
        <v>29278.167503329994</v>
      </c>
      <c r="O15" s="4">
        <f t="shared" si="11"/>
        <v>1028622.2597058146</v>
      </c>
    </row>
    <row r="16" spans="2:18" x14ac:dyDescent="0.3">
      <c r="C16" s="3">
        <v>7</v>
      </c>
      <c r="D16" s="4">
        <f t="shared" si="7"/>
        <v>55703.65825029488</v>
      </c>
      <c r="E16" s="4">
        <f t="shared" si="3"/>
        <v>1225.4804815064874</v>
      </c>
      <c r="F16" s="3">
        <v>3795</v>
      </c>
      <c r="G16" s="4">
        <f t="shared" si="4"/>
        <v>2569.5195184935128</v>
      </c>
      <c r="H16" s="4">
        <f t="shared" si="5"/>
        <v>53134.138731801366</v>
      </c>
      <c r="J16" s="3">
        <v>7</v>
      </c>
      <c r="K16" s="4">
        <f t="shared" si="8"/>
        <v>1028622.2597058146</v>
      </c>
      <c r="L16" s="4">
        <f t="shared" si="6"/>
        <v>10286.222597058146</v>
      </c>
      <c r="M16" s="4">
        <f t="shared" si="9"/>
        <v>39857.171775421441</v>
      </c>
      <c r="N16" s="4">
        <f t="shared" si="10"/>
        <v>29570.949178363295</v>
      </c>
      <c r="O16" s="4">
        <f t="shared" si="11"/>
        <v>999051.31052745134</v>
      </c>
    </row>
    <row r="17" spans="3:15" x14ac:dyDescent="0.3">
      <c r="C17" s="3">
        <v>8</v>
      </c>
      <c r="D17" s="4">
        <f t="shared" si="7"/>
        <v>53134.138731801366</v>
      </c>
      <c r="E17" s="4">
        <f t="shared" si="3"/>
        <v>1168.9510520996303</v>
      </c>
      <c r="F17" s="3">
        <v>3795</v>
      </c>
      <c r="G17" s="4">
        <f t="shared" si="4"/>
        <v>2626.04894790037</v>
      </c>
      <c r="H17" s="4">
        <f t="shared" si="5"/>
        <v>50508.089783900999</v>
      </c>
      <c r="J17" s="3">
        <v>8</v>
      </c>
      <c r="K17" s="4">
        <f t="shared" si="8"/>
        <v>999051.31052745134</v>
      </c>
      <c r="L17" s="4">
        <f t="shared" si="6"/>
        <v>9990.5131052745128</v>
      </c>
      <c r="M17" s="4">
        <f t="shared" si="9"/>
        <v>39857.171775421441</v>
      </c>
      <c r="N17" s="4">
        <f t="shared" si="10"/>
        <v>29866.658670146928</v>
      </c>
      <c r="O17" s="4">
        <f t="shared" si="11"/>
        <v>969184.65185730439</v>
      </c>
    </row>
    <row r="18" spans="3:15" x14ac:dyDescent="0.3">
      <c r="C18" s="3">
        <v>9</v>
      </c>
      <c r="D18" s="4">
        <f t="shared" si="7"/>
        <v>50508.089783900999</v>
      </c>
      <c r="E18" s="4">
        <f t="shared" si="3"/>
        <v>1111.1779752458219</v>
      </c>
      <c r="F18" s="3">
        <v>3795</v>
      </c>
      <c r="G18" s="4">
        <f t="shared" si="4"/>
        <v>2683.8220247541781</v>
      </c>
      <c r="H18" s="4">
        <f t="shared" si="5"/>
        <v>47824.267759146824</v>
      </c>
      <c r="J18" s="3">
        <v>9</v>
      </c>
      <c r="K18" s="4">
        <f t="shared" si="8"/>
        <v>969184.65185730439</v>
      </c>
      <c r="L18" s="4">
        <f t="shared" si="6"/>
        <v>9691.8465185730438</v>
      </c>
      <c r="M18" s="4">
        <f t="shared" si="9"/>
        <v>39857.171775421441</v>
      </c>
      <c r="N18" s="4">
        <f t="shared" si="10"/>
        <v>30165.325256848395</v>
      </c>
      <c r="O18" s="4">
        <f t="shared" si="11"/>
        <v>939019.32660045603</v>
      </c>
    </row>
    <row r="19" spans="3:15" x14ac:dyDescent="0.3">
      <c r="C19" s="3">
        <v>10</v>
      </c>
      <c r="D19" s="4">
        <f t="shared" si="7"/>
        <v>47824.267759146824</v>
      </c>
      <c r="E19" s="4">
        <f t="shared" si="3"/>
        <v>1052.1338907012303</v>
      </c>
      <c r="F19" s="3">
        <v>3795</v>
      </c>
      <c r="G19" s="4">
        <f t="shared" si="4"/>
        <v>2742.8661092987695</v>
      </c>
      <c r="H19" s="4">
        <f t="shared" si="5"/>
        <v>45081.401649848056</v>
      </c>
      <c r="J19" s="3">
        <v>10</v>
      </c>
      <c r="K19" s="4">
        <f t="shared" si="8"/>
        <v>939019.32660045603</v>
      </c>
      <c r="L19" s="4">
        <f t="shared" si="6"/>
        <v>9390.1932660045604</v>
      </c>
      <c r="M19" s="4">
        <f t="shared" si="9"/>
        <v>39857.171775421441</v>
      </c>
      <c r="N19" s="4">
        <f t="shared" si="10"/>
        <v>30466.97850941688</v>
      </c>
      <c r="O19" s="4">
        <f t="shared" si="11"/>
        <v>908552.34809103911</v>
      </c>
    </row>
    <row r="20" spans="3:15" x14ac:dyDescent="0.3">
      <c r="C20" s="3">
        <v>11</v>
      </c>
      <c r="D20" s="4">
        <f t="shared" si="7"/>
        <v>45081.401649848056</v>
      </c>
      <c r="E20" s="4">
        <f t="shared" ref="E20:E45" si="12">D20*$H$4/100</f>
        <v>991.7908362966574</v>
      </c>
      <c r="F20" s="3">
        <v>3795</v>
      </c>
      <c r="G20" s="4">
        <f t="shared" ref="G20:G45" si="13">F20-E20</f>
        <v>2803.2091637033427</v>
      </c>
      <c r="H20" s="4">
        <f t="shared" ref="H20:H45" si="14">D20-G20</f>
        <v>42278.192486144711</v>
      </c>
      <c r="J20" s="3">
        <v>11</v>
      </c>
      <c r="K20" s="4">
        <f t="shared" si="8"/>
        <v>908552.34809103911</v>
      </c>
      <c r="L20" s="4">
        <f t="shared" si="6"/>
        <v>9085.5234809103913</v>
      </c>
      <c r="M20" s="4">
        <f t="shared" si="9"/>
        <v>39857.171775421441</v>
      </c>
      <c r="N20" s="4">
        <f t="shared" si="10"/>
        <v>30771.648294511047</v>
      </c>
      <c r="O20" s="4">
        <f t="shared" si="11"/>
        <v>877780.69979652809</v>
      </c>
    </row>
    <row r="21" spans="3:15" x14ac:dyDescent="0.3">
      <c r="C21" s="3">
        <v>12</v>
      </c>
      <c r="D21" s="4">
        <f t="shared" ref="D21:D27" si="15">H20</f>
        <v>42278.192486144711</v>
      </c>
      <c r="E21" s="4">
        <f t="shared" si="12"/>
        <v>930.12023469518374</v>
      </c>
      <c r="F21" s="3">
        <v>3795</v>
      </c>
      <c r="G21" s="4">
        <f t="shared" si="13"/>
        <v>2864.8797653048164</v>
      </c>
      <c r="H21" s="4">
        <f t="shared" si="14"/>
        <v>39413.312720839895</v>
      </c>
      <c r="J21" s="3">
        <v>12</v>
      </c>
      <c r="K21" s="4">
        <f t="shared" si="8"/>
        <v>877780.69979652809</v>
      </c>
      <c r="L21" s="4">
        <f t="shared" si="6"/>
        <v>8777.806997965281</v>
      </c>
      <c r="M21" s="4">
        <f t="shared" si="9"/>
        <v>39857.171775421441</v>
      </c>
      <c r="N21" s="4">
        <f t="shared" si="10"/>
        <v>31079.364777456161</v>
      </c>
      <c r="O21" s="4">
        <f t="shared" si="11"/>
        <v>846701.33501907194</v>
      </c>
    </row>
    <row r="22" spans="3:15" x14ac:dyDescent="0.3">
      <c r="C22" s="3">
        <v>13</v>
      </c>
      <c r="D22" s="4">
        <f t="shared" si="15"/>
        <v>39413.312720839895</v>
      </c>
      <c r="E22" s="4">
        <f t="shared" si="12"/>
        <v>867.09287985847766</v>
      </c>
      <c r="F22" s="3">
        <v>3795</v>
      </c>
      <c r="G22" s="4">
        <f t="shared" si="13"/>
        <v>2927.9071201415222</v>
      </c>
      <c r="H22" s="4">
        <f t="shared" si="14"/>
        <v>36485.405600698374</v>
      </c>
      <c r="J22" s="3">
        <v>13</v>
      </c>
      <c r="K22" s="4">
        <f t="shared" si="8"/>
        <v>846701.33501907194</v>
      </c>
      <c r="L22" s="4">
        <f t="shared" si="6"/>
        <v>8467.0133501907185</v>
      </c>
      <c r="M22" s="4">
        <f t="shared" si="9"/>
        <v>39857.171775421441</v>
      </c>
      <c r="N22" s="4">
        <f t="shared" si="10"/>
        <v>31390.158425230722</v>
      </c>
      <c r="O22" s="4">
        <f t="shared" si="11"/>
        <v>815311.17659384117</v>
      </c>
    </row>
    <row r="23" spans="3:15" x14ac:dyDescent="0.3">
      <c r="C23" s="3">
        <v>14</v>
      </c>
      <c r="D23" s="4">
        <f t="shared" si="15"/>
        <v>36485.405600698374</v>
      </c>
      <c r="E23" s="4">
        <f t="shared" si="12"/>
        <v>802.67892321536431</v>
      </c>
      <c r="F23" s="3">
        <v>3795</v>
      </c>
      <c r="G23" s="4">
        <f t="shared" si="13"/>
        <v>2992.3210767846358</v>
      </c>
      <c r="H23" s="4">
        <f t="shared" si="14"/>
        <v>33493.084523913742</v>
      </c>
      <c r="J23" s="3">
        <v>14</v>
      </c>
      <c r="K23" s="4">
        <f t="shared" si="8"/>
        <v>815311.17659384117</v>
      </c>
      <c r="L23" s="4">
        <f t="shared" si="6"/>
        <v>8153.1117659384117</v>
      </c>
      <c r="M23" s="4">
        <f t="shared" si="9"/>
        <v>39857.171775421441</v>
      </c>
      <c r="N23" s="4">
        <f t="shared" si="10"/>
        <v>31704.06000948303</v>
      </c>
      <c r="O23" s="4">
        <f t="shared" si="11"/>
        <v>783607.11658435815</v>
      </c>
    </row>
    <row r="24" spans="3:15" x14ac:dyDescent="0.3">
      <c r="C24" s="3">
        <v>15</v>
      </c>
      <c r="D24" s="4">
        <f t="shared" si="15"/>
        <v>33493.084523913742</v>
      </c>
      <c r="E24" s="4">
        <f t="shared" si="12"/>
        <v>736.84785952610241</v>
      </c>
      <c r="F24" s="3">
        <v>3795</v>
      </c>
      <c r="G24" s="4">
        <f t="shared" si="13"/>
        <v>3058.1521404738978</v>
      </c>
      <c r="H24" s="4">
        <f t="shared" si="14"/>
        <v>30434.932383439846</v>
      </c>
      <c r="J24" s="3">
        <v>15</v>
      </c>
      <c r="K24" s="4">
        <f t="shared" si="8"/>
        <v>783607.11658435815</v>
      </c>
      <c r="L24" s="4">
        <f t="shared" si="6"/>
        <v>7836.0711658435812</v>
      </c>
      <c r="M24" s="4">
        <f t="shared" si="9"/>
        <v>39857.171775421441</v>
      </c>
      <c r="N24" s="4">
        <f t="shared" si="10"/>
        <v>32021.100609577858</v>
      </c>
      <c r="O24" s="4">
        <f t="shared" si="11"/>
        <v>751586.01597478031</v>
      </c>
    </row>
    <row r="25" spans="3:15" x14ac:dyDescent="0.3">
      <c r="C25" s="3">
        <v>16</v>
      </c>
      <c r="D25" s="4">
        <f t="shared" si="15"/>
        <v>30434.932383439846</v>
      </c>
      <c r="E25" s="4">
        <f t="shared" si="12"/>
        <v>669.56851243567667</v>
      </c>
      <c r="F25" s="3">
        <v>3795</v>
      </c>
      <c r="G25" s="4">
        <f t="shared" si="13"/>
        <v>3125.4314875643231</v>
      </c>
      <c r="H25" s="4">
        <f t="shared" si="14"/>
        <v>27309.500895875521</v>
      </c>
      <c r="J25" s="3">
        <v>16</v>
      </c>
      <c r="K25" s="4">
        <f t="shared" si="8"/>
        <v>751586.01597478031</v>
      </c>
      <c r="L25" s="4">
        <f t="shared" si="6"/>
        <v>7515.8601597478028</v>
      </c>
      <c r="M25" s="4">
        <f t="shared" si="9"/>
        <v>39857.171775421441</v>
      </c>
      <c r="N25" s="4">
        <f t="shared" si="10"/>
        <v>32341.311615673636</v>
      </c>
      <c r="O25" s="4">
        <f t="shared" si="11"/>
        <v>719244.70435910672</v>
      </c>
    </row>
    <row r="26" spans="3:15" x14ac:dyDescent="0.3">
      <c r="C26" s="3">
        <v>17</v>
      </c>
      <c r="D26" s="4">
        <f t="shared" si="15"/>
        <v>27309.500895875521</v>
      </c>
      <c r="E26" s="4">
        <f t="shared" si="12"/>
        <v>600.80901970926152</v>
      </c>
      <c r="F26" s="3">
        <v>3795</v>
      </c>
      <c r="G26" s="4">
        <f t="shared" si="13"/>
        <v>3194.1909802907385</v>
      </c>
      <c r="H26" s="4">
        <f t="shared" si="14"/>
        <v>24115.309915584781</v>
      </c>
      <c r="J26" s="3">
        <v>17</v>
      </c>
      <c r="K26" s="4">
        <f t="shared" si="8"/>
        <v>719244.70435910672</v>
      </c>
      <c r="L26" s="4">
        <f t="shared" si="6"/>
        <v>7192.4470435910671</v>
      </c>
      <c r="M26" s="4">
        <f t="shared" si="9"/>
        <v>39857.171775421441</v>
      </c>
      <c r="N26" s="4">
        <f t="shared" si="10"/>
        <v>32664.724731830374</v>
      </c>
      <c r="O26" s="4">
        <f t="shared" si="11"/>
        <v>686579.97962727631</v>
      </c>
    </row>
    <row r="27" spans="3:15" x14ac:dyDescent="0.3">
      <c r="C27" s="3">
        <v>18</v>
      </c>
      <c r="D27" s="4">
        <f t="shared" si="15"/>
        <v>24115.309915584781</v>
      </c>
      <c r="E27" s="4">
        <f t="shared" si="12"/>
        <v>530.53681814286529</v>
      </c>
      <c r="F27" s="3">
        <v>3795</v>
      </c>
      <c r="G27" s="4">
        <f t="shared" si="13"/>
        <v>3264.4631818571347</v>
      </c>
      <c r="H27" s="4">
        <f t="shared" si="14"/>
        <v>20850.846733727645</v>
      </c>
      <c r="J27" s="3">
        <v>18</v>
      </c>
      <c r="K27" s="4">
        <f t="shared" si="8"/>
        <v>686579.97962727631</v>
      </c>
      <c r="L27" s="4">
        <f t="shared" si="6"/>
        <v>6865.7997962727632</v>
      </c>
      <c r="M27" s="4">
        <f t="shared" si="9"/>
        <v>39857.171775421441</v>
      </c>
      <c r="N27" s="4">
        <f t="shared" si="10"/>
        <v>32991.37197914868</v>
      </c>
      <c r="O27" s="4">
        <f>K27-N27</f>
        <v>653588.6076481276</v>
      </c>
    </row>
    <row r="28" spans="3:15" x14ac:dyDescent="0.3">
      <c r="C28" s="3">
        <v>19</v>
      </c>
      <c r="D28" s="4">
        <f>H27</f>
        <v>20850.846733727645</v>
      </c>
      <c r="E28" s="4">
        <f t="shared" si="12"/>
        <v>458.71862814200824</v>
      </c>
      <c r="F28" s="3">
        <v>3795</v>
      </c>
      <c r="G28" s="4">
        <f t="shared" si="13"/>
        <v>3336.2813718579919</v>
      </c>
      <c r="H28" s="4">
        <f t="shared" si="14"/>
        <v>17514.565361869652</v>
      </c>
      <c r="J28" s="3">
        <v>19</v>
      </c>
      <c r="K28" s="4">
        <f t="shared" ref="K28:K32" si="16">O27</f>
        <v>653588.6076481276</v>
      </c>
      <c r="L28" s="4">
        <f t="shared" si="6"/>
        <v>6535.8860764812762</v>
      </c>
      <c r="M28" s="4">
        <f t="shared" ref="M28:M32" si="17">M27</f>
        <v>39857.171775421441</v>
      </c>
      <c r="N28" s="4">
        <f t="shared" ref="N28:N32" si="18">M28-L28</f>
        <v>33321.285698940163</v>
      </c>
      <c r="O28" s="4">
        <f t="shared" ref="O28:O32" si="19">K28-N28</f>
        <v>620267.32194918743</v>
      </c>
    </row>
    <row r="29" spans="3:15" x14ac:dyDescent="0.3">
      <c r="C29" s="3">
        <v>20</v>
      </c>
      <c r="D29" s="4">
        <f>H28</f>
        <v>17514.565361869652</v>
      </c>
      <c r="E29" s="4">
        <f t="shared" si="12"/>
        <v>385.32043796113243</v>
      </c>
      <c r="F29" s="3">
        <v>3795</v>
      </c>
      <c r="G29" s="4">
        <f t="shared" si="13"/>
        <v>3409.6795620388675</v>
      </c>
      <c r="H29" s="4">
        <f t="shared" si="14"/>
        <v>14104.885799830785</v>
      </c>
      <c r="J29" s="3">
        <v>20</v>
      </c>
      <c r="K29" s="4">
        <f t="shared" si="16"/>
        <v>620267.32194918743</v>
      </c>
      <c r="L29" s="4">
        <f t="shared" si="6"/>
        <v>6202.6732194918741</v>
      </c>
      <c r="M29" s="4">
        <f t="shared" si="17"/>
        <v>39857.171775421441</v>
      </c>
      <c r="N29" s="4">
        <f t="shared" si="18"/>
        <v>33654.498555929567</v>
      </c>
      <c r="O29" s="4">
        <f t="shared" si="19"/>
        <v>586612.82339325792</v>
      </c>
    </row>
    <row r="30" spans="3:15" x14ac:dyDescent="0.3">
      <c r="C30" s="3">
        <v>21</v>
      </c>
      <c r="D30" s="4">
        <f t="shared" ref="D30:D35" si="20">H29</f>
        <v>14104.885799830785</v>
      </c>
      <c r="E30" s="4">
        <f t="shared" si="12"/>
        <v>310.30748759627727</v>
      </c>
      <c r="F30" s="3">
        <v>3795</v>
      </c>
      <c r="G30" s="4">
        <f t="shared" si="13"/>
        <v>3484.6925124037225</v>
      </c>
      <c r="H30" s="4">
        <f t="shared" si="14"/>
        <v>10620.193287427062</v>
      </c>
      <c r="J30" s="3">
        <v>21</v>
      </c>
      <c r="K30" s="4">
        <f t="shared" si="16"/>
        <v>586612.82339325792</v>
      </c>
      <c r="L30" s="4">
        <f t="shared" si="6"/>
        <v>5866.128233932579</v>
      </c>
      <c r="M30" s="4">
        <f t="shared" si="17"/>
        <v>39857.171775421441</v>
      </c>
      <c r="N30" s="4">
        <f t="shared" si="18"/>
        <v>33991.043541488863</v>
      </c>
      <c r="O30" s="4">
        <f t="shared" si="19"/>
        <v>552621.7798517691</v>
      </c>
    </row>
    <row r="31" spans="3:15" x14ac:dyDescent="0.3">
      <c r="C31" s="3">
        <v>22</v>
      </c>
      <c r="D31" s="4">
        <f t="shared" si="20"/>
        <v>10620.193287427062</v>
      </c>
      <c r="E31" s="4">
        <f t="shared" si="12"/>
        <v>233.64425232339536</v>
      </c>
      <c r="F31" s="3">
        <v>3795</v>
      </c>
      <c r="G31" s="4">
        <f t="shared" si="13"/>
        <v>3561.3557476766046</v>
      </c>
      <c r="H31" s="4">
        <f t="shared" si="14"/>
        <v>7058.8375397504578</v>
      </c>
      <c r="J31" s="3">
        <v>22</v>
      </c>
      <c r="K31" s="4">
        <f t="shared" si="16"/>
        <v>552621.7798517691</v>
      </c>
      <c r="L31" s="4">
        <f t="shared" si="6"/>
        <v>5526.2177985176913</v>
      </c>
      <c r="M31" s="4">
        <f t="shared" si="17"/>
        <v>39857.171775421441</v>
      </c>
      <c r="N31" s="4">
        <f t="shared" si="18"/>
        <v>34330.953976903751</v>
      </c>
      <c r="O31" s="4">
        <f t="shared" si="19"/>
        <v>518290.82587486535</v>
      </c>
    </row>
    <row r="32" spans="3:15" x14ac:dyDescent="0.3">
      <c r="C32" s="3">
        <v>23</v>
      </c>
      <c r="D32" s="4">
        <f t="shared" si="20"/>
        <v>7058.8375397504578</v>
      </c>
      <c r="E32" s="4">
        <f t="shared" si="12"/>
        <v>155.2944258745101</v>
      </c>
      <c r="F32" s="3">
        <v>3795</v>
      </c>
      <c r="G32" s="4">
        <f t="shared" si="13"/>
        <v>3639.7055741254899</v>
      </c>
      <c r="H32" s="4">
        <f t="shared" si="14"/>
        <v>3419.131965624968</v>
      </c>
      <c r="J32" s="3">
        <v>23</v>
      </c>
      <c r="K32" s="4">
        <f t="shared" si="16"/>
        <v>518290.82587486535</v>
      </c>
      <c r="L32" s="4">
        <f t="shared" si="6"/>
        <v>5182.9082587486537</v>
      </c>
      <c r="M32" s="4">
        <f t="shared" si="17"/>
        <v>39857.171775421441</v>
      </c>
      <c r="N32" s="4">
        <f t="shared" si="18"/>
        <v>34674.263516672785</v>
      </c>
      <c r="O32" s="4">
        <f t="shared" si="19"/>
        <v>483616.56235819258</v>
      </c>
    </row>
    <row r="33" spans="3:15" x14ac:dyDescent="0.3">
      <c r="C33" s="3">
        <v>24</v>
      </c>
      <c r="D33" s="4">
        <f t="shared" si="20"/>
        <v>3419.131965624968</v>
      </c>
      <c r="E33" s="4">
        <f t="shared" si="12"/>
        <v>75.220903243749305</v>
      </c>
      <c r="F33" s="3">
        <v>3795</v>
      </c>
      <c r="G33" s="4">
        <f t="shared" si="13"/>
        <v>3719.7790967562505</v>
      </c>
      <c r="H33" s="4">
        <f t="shared" si="14"/>
        <v>-300.64713113128255</v>
      </c>
      <c r="J33" s="3">
        <v>24</v>
      </c>
      <c r="K33" s="4">
        <f t="shared" ref="K33:K40" si="21">O32</f>
        <v>483616.56235819258</v>
      </c>
      <c r="L33" s="4">
        <f t="shared" si="6"/>
        <v>4836.1656235819255</v>
      </c>
      <c r="M33" s="4">
        <f t="shared" ref="M33:M40" si="22">M32</f>
        <v>39857.171775421441</v>
      </c>
      <c r="N33" s="4">
        <f t="shared" ref="N33:N40" si="23">M33-L33</f>
        <v>35021.006151839516</v>
      </c>
      <c r="O33" s="4">
        <f t="shared" ref="O33:O40" si="24">K33-N33</f>
        <v>448595.55620635307</v>
      </c>
    </row>
    <row r="34" spans="3:15" x14ac:dyDescent="0.3">
      <c r="C34" s="3">
        <v>25</v>
      </c>
      <c r="D34" s="4">
        <f t="shared" si="20"/>
        <v>-300.64713113128255</v>
      </c>
      <c r="E34" s="4">
        <f t="shared" si="12"/>
        <v>-6.6142368848882169</v>
      </c>
      <c r="F34" s="3">
        <v>3795</v>
      </c>
      <c r="G34" s="4">
        <f t="shared" si="13"/>
        <v>3801.6142368848882</v>
      </c>
      <c r="H34" s="4">
        <f t="shared" si="14"/>
        <v>-4102.2613680161703</v>
      </c>
      <c r="J34" s="3">
        <v>25</v>
      </c>
      <c r="K34" s="4">
        <f t="shared" si="21"/>
        <v>448595.55620635307</v>
      </c>
      <c r="L34" s="4">
        <f t="shared" si="6"/>
        <v>4485.955562063531</v>
      </c>
      <c r="M34" s="4">
        <f t="shared" si="22"/>
        <v>39857.171775421441</v>
      </c>
      <c r="N34" s="4">
        <f t="shared" si="23"/>
        <v>35371.216213357911</v>
      </c>
      <c r="O34" s="4">
        <f t="shared" si="24"/>
        <v>413224.33999299514</v>
      </c>
    </row>
    <row r="35" spans="3:15" x14ac:dyDescent="0.3">
      <c r="C35" s="3">
        <v>26</v>
      </c>
      <c r="D35" s="4">
        <f t="shared" si="20"/>
        <v>-4102.2613680161703</v>
      </c>
      <c r="E35" s="4">
        <f t="shared" si="12"/>
        <v>-90.24975009635574</v>
      </c>
      <c r="F35" s="3">
        <v>3795</v>
      </c>
      <c r="G35" s="4">
        <f t="shared" si="13"/>
        <v>3885.2497500963559</v>
      </c>
      <c r="H35" s="4">
        <f t="shared" si="14"/>
        <v>-7987.5111181125267</v>
      </c>
      <c r="J35" s="3">
        <v>26</v>
      </c>
      <c r="K35" s="4">
        <f t="shared" si="21"/>
        <v>413224.33999299514</v>
      </c>
      <c r="L35" s="4">
        <f t="shared" si="6"/>
        <v>4132.243399929951</v>
      </c>
      <c r="M35" s="4">
        <f t="shared" si="22"/>
        <v>39857.171775421441</v>
      </c>
      <c r="N35" s="4">
        <f t="shared" si="23"/>
        <v>35724.928375491487</v>
      </c>
      <c r="O35" s="4">
        <f t="shared" si="24"/>
        <v>377499.41161750368</v>
      </c>
    </row>
    <row r="36" spans="3:15" x14ac:dyDescent="0.3">
      <c r="C36" s="3">
        <v>27</v>
      </c>
      <c r="D36" s="4">
        <f>H35</f>
        <v>-7987.5111181125267</v>
      </c>
      <c r="E36" s="4">
        <f t="shared" si="12"/>
        <v>-175.72524459847557</v>
      </c>
      <c r="F36" s="3">
        <v>3795</v>
      </c>
      <c r="G36" s="4">
        <f t="shared" si="13"/>
        <v>3970.7252445984755</v>
      </c>
      <c r="H36" s="4">
        <f t="shared" si="14"/>
        <v>-11958.236362711003</v>
      </c>
      <c r="J36" s="3">
        <v>27</v>
      </c>
      <c r="K36" s="4">
        <f t="shared" si="21"/>
        <v>377499.41161750368</v>
      </c>
      <c r="L36" s="4">
        <f t="shared" si="6"/>
        <v>3774.9941161750367</v>
      </c>
      <c r="M36" s="4">
        <f t="shared" si="22"/>
        <v>39857.171775421441</v>
      </c>
      <c r="N36" s="4">
        <f t="shared" si="23"/>
        <v>36082.177659246401</v>
      </c>
      <c r="O36" s="4">
        <f t="shared" si="24"/>
        <v>341417.23395825725</v>
      </c>
    </row>
    <row r="37" spans="3:15" x14ac:dyDescent="0.3">
      <c r="C37" s="3">
        <v>28</v>
      </c>
      <c r="D37" s="4">
        <f>H36</f>
        <v>-11958.236362711003</v>
      </c>
      <c r="E37" s="4">
        <f t="shared" si="12"/>
        <v>-263.08119997964207</v>
      </c>
      <c r="F37" s="3">
        <v>3795</v>
      </c>
      <c r="G37" s="4">
        <f t="shared" si="13"/>
        <v>4058.081199979642</v>
      </c>
      <c r="H37" s="4">
        <f t="shared" si="14"/>
        <v>-16016.317562690645</v>
      </c>
      <c r="J37" s="3">
        <v>28</v>
      </c>
      <c r="K37" s="4">
        <f t="shared" si="21"/>
        <v>341417.23395825725</v>
      </c>
      <c r="L37" s="4">
        <f t="shared" si="6"/>
        <v>3414.1723395825725</v>
      </c>
      <c r="M37" s="4">
        <f t="shared" si="22"/>
        <v>39857.171775421441</v>
      </c>
      <c r="N37" s="4">
        <f t="shared" si="23"/>
        <v>36442.999435838865</v>
      </c>
      <c r="O37" s="4">
        <f t="shared" si="24"/>
        <v>304974.23452241835</v>
      </c>
    </row>
    <row r="38" spans="3:15" x14ac:dyDescent="0.3">
      <c r="C38" s="3">
        <v>29</v>
      </c>
      <c r="D38" s="4">
        <f t="shared" ref="D38:D43" si="25">H37</f>
        <v>-16016.317562690645</v>
      </c>
      <c r="E38" s="4">
        <f t="shared" si="12"/>
        <v>-352.35898637919422</v>
      </c>
      <c r="F38" s="3">
        <v>3795</v>
      </c>
      <c r="G38" s="4">
        <f t="shared" si="13"/>
        <v>4147.358986379194</v>
      </c>
      <c r="H38" s="4">
        <f t="shared" si="14"/>
        <v>-20163.676549069838</v>
      </c>
      <c r="J38" s="3">
        <v>29</v>
      </c>
      <c r="K38" s="4">
        <f t="shared" si="21"/>
        <v>304974.23452241835</v>
      </c>
      <c r="L38" s="4">
        <f t="shared" si="6"/>
        <v>3049.7423452241837</v>
      </c>
      <c r="M38" s="4">
        <f t="shared" si="22"/>
        <v>39857.171775421441</v>
      </c>
      <c r="N38" s="4">
        <f t="shared" si="23"/>
        <v>36807.429430197255</v>
      </c>
      <c r="O38" s="4">
        <f t="shared" si="24"/>
        <v>268166.80509222113</v>
      </c>
    </row>
    <row r="39" spans="3:15" x14ac:dyDescent="0.3">
      <c r="C39" s="3">
        <v>30</v>
      </c>
      <c r="D39" s="4">
        <f t="shared" si="25"/>
        <v>-20163.676549069838</v>
      </c>
      <c r="E39" s="4">
        <f t="shared" si="12"/>
        <v>-443.60088407953646</v>
      </c>
      <c r="F39" s="3">
        <v>3795</v>
      </c>
      <c r="G39" s="4">
        <f t="shared" si="13"/>
        <v>4238.6008840795366</v>
      </c>
      <c r="H39" s="4">
        <f t="shared" si="14"/>
        <v>-24402.277433149375</v>
      </c>
      <c r="J39" s="3">
        <v>30</v>
      </c>
      <c r="K39" s="4">
        <f t="shared" si="21"/>
        <v>268166.80509222113</v>
      </c>
      <c r="L39" s="4">
        <f t="shared" si="6"/>
        <v>2681.6680509222115</v>
      </c>
      <c r="M39" s="4">
        <f t="shared" si="22"/>
        <v>39857.171775421441</v>
      </c>
      <c r="N39" s="4">
        <f t="shared" si="23"/>
        <v>37175.503724499227</v>
      </c>
      <c r="O39" s="4">
        <f t="shared" si="24"/>
        <v>230991.3013677219</v>
      </c>
    </row>
    <row r="40" spans="3:15" x14ac:dyDescent="0.3">
      <c r="C40" s="3">
        <v>31</v>
      </c>
      <c r="D40" s="4">
        <f t="shared" si="25"/>
        <v>-24402.277433149375</v>
      </c>
      <c r="E40" s="4">
        <f t="shared" si="12"/>
        <v>-536.85010352928623</v>
      </c>
      <c r="F40" s="3">
        <v>3795</v>
      </c>
      <c r="G40" s="4">
        <f t="shared" si="13"/>
        <v>4331.8501035292866</v>
      </c>
      <c r="H40" s="4">
        <f t="shared" si="14"/>
        <v>-28734.127536678661</v>
      </c>
      <c r="J40" s="3">
        <v>31</v>
      </c>
      <c r="K40" s="4">
        <f t="shared" si="21"/>
        <v>230991.3013677219</v>
      </c>
      <c r="L40" s="4">
        <f t="shared" si="6"/>
        <v>2309.9130136772192</v>
      </c>
      <c r="M40" s="4">
        <f t="shared" si="22"/>
        <v>39857.171775421441</v>
      </c>
      <c r="N40" s="4">
        <f t="shared" si="23"/>
        <v>37547.258761744219</v>
      </c>
      <c r="O40" s="4">
        <f t="shared" si="24"/>
        <v>193444.04260597768</v>
      </c>
    </row>
    <row r="41" spans="3:15" x14ac:dyDescent="0.3">
      <c r="C41" s="3">
        <v>32</v>
      </c>
      <c r="D41" s="4">
        <f t="shared" si="25"/>
        <v>-28734.127536678661</v>
      </c>
      <c r="E41" s="4">
        <f t="shared" si="12"/>
        <v>-632.15080580693063</v>
      </c>
      <c r="F41" s="3">
        <v>3795</v>
      </c>
      <c r="G41" s="4">
        <f t="shared" si="13"/>
        <v>4427.1508058069303</v>
      </c>
      <c r="H41" s="4">
        <f t="shared" si="14"/>
        <v>-33161.278342485588</v>
      </c>
      <c r="J41" s="3">
        <v>32</v>
      </c>
      <c r="K41" s="4">
        <f t="shared" ref="K41:K45" si="26">O40</f>
        <v>193444.04260597768</v>
      </c>
      <c r="L41" s="4">
        <f t="shared" si="6"/>
        <v>1934.4404260597769</v>
      </c>
      <c r="M41" s="4">
        <f t="shared" ref="M41:M45" si="27">M40</f>
        <v>39857.171775421441</v>
      </c>
      <c r="N41" s="4">
        <f t="shared" ref="N41:N45" si="28">M41-L41</f>
        <v>37922.73134936166</v>
      </c>
      <c r="O41" s="4">
        <f t="shared" ref="O41:O45" si="29">K41-N41</f>
        <v>155521.31125661603</v>
      </c>
    </row>
    <row r="42" spans="3:15" x14ac:dyDescent="0.3">
      <c r="C42" s="3">
        <v>33</v>
      </c>
      <c r="D42" s="4">
        <f t="shared" si="25"/>
        <v>-33161.278342485588</v>
      </c>
      <c r="E42" s="4">
        <f t="shared" si="12"/>
        <v>-729.54812353468299</v>
      </c>
      <c r="F42" s="3">
        <v>3795</v>
      </c>
      <c r="G42" s="4">
        <f t="shared" si="13"/>
        <v>4524.5481235346833</v>
      </c>
      <c r="H42" s="4">
        <f t="shared" si="14"/>
        <v>-37685.826466020269</v>
      </c>
      <c r="J42" s="3">
        <v>33</v>
      </c>
      <c r="K42" s="4">
        <f t="shared" si="26"/>
        <v>155521.31125661603</v>
      </c>
      <c r="L42" s="4">
        <f t="shared" si="6"/>
        <v>1555.2131125661604</v>
      </c>
      <c r="M42" s="4">
        <f t="shared" si="27"/>
        <v>39857.171775421441</v>
      </c>
      <c r="N42" s="4">
        <f t="shared" si="28"/>
        <v>38301.958662855279</v>
      </c>
      <c r="O42" s="4">
        <f t="shared" si="29"/>
        <v>117219.35259376075</v>
      </c>
    </row>
    <row r="43" spans="3:15" x14ac:dyDescent="0.3">
      <c r="C43" s="3">
        <v>34</v>
      </c>
      <c r="D43" s="4">
        <f t="shared" si="25"/>
        <v>-37685.826466020269</v>
      </c>
      <c r="E43" s="4">
        <f t="shared" si="12"/>
        <v>-829.08818225244602</v>
      </c>
      <c r="F43" s="3">
        <v>3795</v>
      </c>
      <c r="G43" s="4">
        <f t="shared" si="13"/>
        <v>4624.0881822524461</v>
      </c>
      <c r="H43" s="4">
        <f t="shared" si="14"/>
        <v>-42309.914648272716</v>
      </c>
      <c r="J43" s="3">
        <v>34</v>
      </c>
      <c r="K43" s="4">
        <f t="shared" si="26"/>
        <v>117219.35259376075</v>
      </c>
      <c r="L43" s="4">
        <f t="shared" si="6"/>
        <v>1172.1935259376075</v>
      </c>
      <c r="M43" s="4">
        <f t="shared" si="27"/>
        <v>39857.171775421441</v>
      </c>
      <c r="N43" s="4">
        <f t="shared" si="28"/>
        <v>38684.978249483836</v>
      </c>
      <c r="O43" s="4">
        <f t="shared" si="29"/>
        <v>78534.374344276905</v>
      </c>
    </row>
    <row r="44" spans="3:15" x14ac:dyDescent="0.3">
      <c r="C44" s="3">
        <v>35</v>
      </c>
      <c r="D44" s="4">
        <f>H43</f>
        <v>-42309.914648272716</v>
      </c>
      <c r="E44" s="4">
        <f t="shared" si="12"/>
        <v>-930.81812226199986</v>
      </c>
      <c r="F44" s="3">
        <v>3795</v>
      </c>
      <c r="G44" s="4">
        <f t="shared" si="13"/>
        <v>4725.8181222619996</v>
      </c>
      <c r="H44" s="4">
        <f t="shared" si="14"/>
        <v>-47035.732770534712</v>
      </c>
      <c r="J44" s="3">
        <v>35</v>
      </c>
      <c r="K44" s="4">
        <f t="shared" si="26"/>
        <v>78534.374344276905</v>
      </c>
      <c r="L44" s="4">
        <f t="shared" si="6"/>
        <v>785.3437434427691</v>
      </c>
      <c r="M44" s="4">
        <f t="shared" si="27"/>
        <v>39857.171775421441</v>
      </c>
      <c r="N44" s="4">
        <f t="shared" si="28"/>
        <v>39071.828031978672</v>
      </c>
      <c r="O44" s="4">
        <f t="shared" si="29"/>
        <v>39462.546312298233</v>
      </c>
    </row>
    <row r="45" spans="3:15" x14ac:dyDescent="0.3">
      <c r="C45" s="3">
        <v>36</v>
      </c>
      <c r="D45" s="4">
        <f>H44</f>
        <v>-47035.732770534712</v>
      </c>
      <c r="E45" s="4">
        <f t="shared" si="12"/>
        <v>-1034.7861209517637</v>
      </c>
      <c r="F45" s="3">
        <v>3795</v>
      </c>
      <c r="G45" s="4">
        <f t="shared" si="13"/>
        <v>4829.7861209517632</v>
      </c>
      <c r="H45" s="4">
        <f t="shared" si="14"/>
        <v>-51865.518891486478</v>
      </c>
      <c r="J45" s="3">
        <v>36</v>
      </c>
      <c r="K45" s="4">
        <f t="shared" si="26"/>
        <v>39462.546312298233</v>
      </c>
      <c r="L45" s="4">
        <f t="shared" si="6"/>
        <v>394.62546312298235</v>
      </c>
      <c r="M45" s="4">
        <f t="shared" si="27"/>
        <v>39857.171775421441</v>
      </c>
      <c r="N45" s="4">
        <f t="shared" si="28"/>
        <v>39462.546312298458</v>
      </c>
      <c r="O45" s="4">
        <f t="shared" si="29"/>
        <v>-2.255546860396862E-10</v>
      </c>
    </row>
    <row r="46" spans="3:15" x14ac:dyDescent="0.3">
      <c r="E46" s="2">
        <f>SUM(E10:E45)</f>
        <v>14754.48110851351</v>
      </c>
    </row>
  </sheetData>
  <mergeCells count="2">
    <mergeCell ref="B2:G2"/>
    <mergeCell ref="F1:K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4E677-BC3C-40A8-99E7-3169786A4B71}">
  <dimension ref="B2:H7"/>
  <sheetViews>
    <sheetView tabSelected="1" workbookViewId="0">
      <selection activeCell="S16" sqref="S16"/>
    </sheetView>
  </sheetViews>
  <sheetFormatPr defaultRowHeight="14.4" x14ac:dyDescent="0.3"/>
  <cols>
    <col min="2" max="2" width="19.21875" bestFit="1" customWidth="1"/>
  </cols>
  <sheetData>
    <row r="2" spans="2:8" x14ac:dyDescent="0.3">
      <c r="B2" t="s">
        <v>16</v>
      </c>
      <c r="C2">
        <v>60000</v>
      </c>
      <c r="D2">
        <f>12000*5</f>
        <v>60000</v>
      </c>
    </row>
    <row r="3" spans="2:8" x14ac:dyDescent="0.3">
      <c r="B3" t="s">
        <v>17</v>
      </c>
      <c r="C3">
        <v>9</v>
      </c>
    </row>
    <row r="4" spans="2:8" x14ac:dyDescent="0.3">
      <c r="B4" t="s">
        <v>18</v>
      </c>
      <c r="C4">
        <v>5</v>
      </c>
    </row>
    <row r="6" spans="2:8" x14ac:dyDescent="0.3">
      <c r="B6" s="5" t="s">
        <v>19</v>
      </c>
      <c r="C6" s="3">
        <f>PR+(PR*NOY*IR)/100</f>
        <v>87000</v>
      </c>
      <c r="H6">
        <f>PR+(PR*IR*NOY)/100</f>
        <v>87000</v>
      </c>
    </row>
    <row r="7" spans="2:8" x14ac:dyDescent="0.3">
      <c r="B7" s="5" t="s">
        <v>20</v>
      </c>
      <c r="C7" s="3">
        <f>PR*(1+(IR/100))^NOY</f>
        <v>92317.437294000032</v>
      </c>
      <c r="E7">
        <f>C7-C6</f>
        <v>5317.4372940000321</v>
      </c>
      <c r="H7">
        <f>PR*(1+(IR/100)^NOY)</f>
        <v>60000.354294000004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B5C572-8E7E-4B71-861D-B7E4C5B66F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Sheet2</vt:lpstr>
      <vt:lpstr>IR</vt:lpstr>
      <vt:lpstr>NOY</vt:lpstr>
      <vt:lpstr>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Parthiban sanjai</dc:creator>
  <cp:lastModifiedBy>Parthiban sanjai</cp:lastModifiedBy>
  <dcterms:created xsi:type="dcterms:W3CDTF">2025-12-15T09:20:52Z</dcterms:created>
  <dcterms:modified xsi:type="dcterms:W3CDTF">2025-12-16T11:28:45Z</dcterms:modified>
</cp:coreProperties>
</file>