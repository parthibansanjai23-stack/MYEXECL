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ccb00cd48f2e822/Desktop/JDA/day7/"/>
    </mc:Choice>
  </mc:AlternateContent>
  <xr:revisionPtr revIDLastSave="366" documentId="8_{F13526F9-DBD1-4DEF-8A47-C552274998F9}" xr6:coauthVersionLast="47" xr6:coauthVersionMax="47" xr10:uidLastSave="{29F9167B-38E9-4917-A1A8-1D0963A5797F}"/>
  <bookViews>
    <workbookView xWindow="-108" yWindow="-108" windowWidth="23256" windowHeight="12456" xr2:uid="{C06075C4-0D00-4293-B3D2-576BA565155F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0" i="1" l="1" a="1"/>
  <c r="I20" i="1" s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2" i="1"/>
  <c r="K3" i="1"/>
  <c r="K4" i="1"/>
  <c r="K5" i="1"/>
  <c r="K6" i="1"/>
  <c r="K7" i="1"/>
  <c r="K8" i="1"/>
  <c r="K9" i="1"/>
  <c r="K10" i="1"/>
  <c r="K11" i="1"/>
  <c r="K12" i="1"/>
  <c r="K13" i="1"/>
  <c r="K14" i="1"/>
  <c r="I3" i="1"/>
  <c r="I4" i="1"/>
  <c r="I5" i="1"/>
  <c r="I6" i="1"/>
  <c r="I7" i="1"/>
  <c r="I8" i="1"/>
  <c r="I9" i="1"/>
  <c r="I10" i="1"/>
  <c r="I11" i="1"/>
  <c r="I12" i="1"/>
  <c r="I13" i="1"/>
  <c r="I14" i="1"/>
  <c r="I2" i="1"/>
  <c r="D3" i="1"/>
  <c r="D4" i="1"/>
  <c r="D5" i="1"/>
  <c r="D6" i="1"/>
  <c r="D7" i="1"/>
  <c r="D8" i="1"/>
  <c r="D9" i="1"/>
  <c r="D10" i="1"/>
  <c r="D11" i="1"/>
  <c r="D12" i="1"/>
  <c r="D13" i="1"/>
  <c r="D14" i="1"/>
  <c r="D2" i="1"/>
  <c r="D3" i="2"/>
  <c r="D2" i="2"/>
  <c r="F7" i="1"/>
  <c r="F8" i="1"/>
  <c r="F11" i="1"/>
  <c r="F13" i="1"/>
  <c r="G13" i="1" s="1"/>
  <c r="H13" i="1" s="1"/>
  <c r="G11" i="1"/>
  <c r="H11" i="1" s="1"/>
  <c r="E4" i="1"/>
  <c r="F4" i="1" s="1"/>
  <c r="E5" i="1"/>
  <c r="F5" i="1" s="1"/>
  <c r="E6" i="1"/>
  <c r="F6" i="1" s="1"/>
  <c r="E7" i="1"/>
  <c r="E8" i="1"/>
  <c r="E9" i="1"/>
  <c r="F9" i="1" s="1"/>
  <c r="E10" i="1"/>
  <c r="F10" i="1" s="1"/>
  <c r="G10" i="1" s="1"/>
  <c r="H10" i="1" s="1"/>
  <c r="E11" i="1"/>
  <c r="E12" i="1"/>
  <c r="F12" i="1" s="1"/>
  <c r="G12" i="1" s="1"/>
  <c r="H12" i="1" s="1"/>
  <c r="E13" i="1"/>
  <c r="E14" i="1"/>
  <c r="F14" i="1" s="1"/>
  <c r="G14" i="1" s="1"/>
  <c r="H14" i="1" s="1"/>
  <c r="E3" i="1"/>
  <c r="F3" i="1" s="1"/>
  <c r="E2" i="1"/>
  <c r="F2" i="1" s="1"/>
  <c r="G9" i="1" l="1"/>
  <c r="H9" i="1" s="1"/>
  <c r="G8" i="1"/>
  <c r="H8" i="1" s="1"/>
  <c r="G6" i="1"/>
  <c r="H6" i="1" s="1"/>
  <c r="G5" i="1"/>
  <c r="H5" i="1" s="1"/>
  <c r="G4" i="1"/>
  <c r="H4" i="1" s="1"/>
  <c r="G3" i="1"/>
  <c r="H3" i="1" s="1"/>
  <c r="G2" i="1"/>
  <c r="H2" i="1" s="1"/>
  <c r="G7" i="1"/>
  <c r="H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<sst xmlns="http://schemas.openxmlformats.org/spreadsheetml/2006/main" count="29" uniqueCount="28">
  <si>
    <t>S/NO</t>
  </si>
  <si>
    <t>NO</t>
  </si>
  <si>
    <t>NAME</t>
  </si>
  <si>
    <t>INITIAL</t>
  </si>
  <si>
    <t>LENGTH</t>
  </si>
  <si>
    <t>NAME ONLY</t>
  </si>
  <si>
    <t>CAPS</t>
  </si>
  <si>
    <t>POPLULATION</t>
  </si>
  <si>
    <t>DATE</t>
  </si>
  <si>
    <t>LOAN</t>
  </si>
  <si>
    <t>PER PERSON</t>
  </si>
  <si>
    <t>INITIAL +NAME</t>
  </si>
  <si>
    <t>single/DOUBLE INITIAL</t>
  </si>
  <si>
    <t>s.a.jack</t>
  </si>
  <si>
    <t>k.jame</t>
  </si>
  <si>
    <t>k.l.oliver</t>
  </si>
  <si>
    <t>d.barry</t>
  </si>
  <si>
    <t>L.m.willaim</t>
  </si>
  <si>
    <t>A.l.sam</t>
  </si>
  <si>
    <t>M.k.jessi</t>
  </si>
  <si>
    <t>P.bart</t>
  </si>
  <si>
    <t>O.kane</t>
  </si>
  <si>
    <t>L.will</t>
  </si>
  <si>
    <t>S.kanna</t>
  </si>
  <si>
    <t>K.A.guna</t>
  </si>
  <si>
    <t>G.senthil</t>
  </si>
  <si>
    <t>initial</t>
  </si>
  <si>
    <t>name without onitial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</si>
</sst>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₹&quot;\ #,##0.00"/>
    <numFmt numFmtId="165" formatCode="&quot;₹&quot;\ #,##0"/>
    <numFmt numFmtId="166" formatCode="0\)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1" xfId="0" applyFill="1" applyBorder="1"/>
    <xf numFmtId="0" fontId="0" fillId="0" borderId="1" xfId="0" applyBorder="1"/>
    <xf numFmtId="0" fontId="0" fillId="2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4AB95-65B7-4CDF-BA9A-C776C6A55B36}">
  <dimension ref="A1:L20"/>
  <sheetViews>
    <sheetView tabSelected="1" workbookViewId="0">
      <selection activeCell="I20" sqref="I20"/>
    </sheetView>
  </sheetViews>
  <sheetFormatPr defaultRowHeight="14.4" x14ac:dyDescent="0.3"/>
  <cols>
    <col min="3" max="3" width="10.33203125" bestFit="1" customWidth="1"/>
    <col min="6" max="6" width="11.109375" bestFit="1" customWidth="1"/>
    <col min="7" max="7" width="14.44140625" bestFit="1" customWidth="1"/>
    <col min="8" max="8" width="9.77734375" bestFit="1" customWidth="1"/>
    <col min="9" max="9" width="19.88671875" bestFit="1" customWidth="1"/>
    <col min="11" max="12" width="18.109375" bestFit="1" customWidth="1"/>
  </cols>
  <sheetData>
    <row r="1" spans="1:12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11</v>
      </c>
      <c r="H1" s="5" t="s">
        <v>6</v>
      </c>
      <c r="I1" s="7" t="s">
        <v>12</v>
      </c>
      <c r="J1" s="7" t="s">
        <v>26</v>
      </c>
      <c r="K1" s="7" t="s">
        <v>27</v>
      </c>
      <c r="L1" s="7" t="s">
        <v>27</v>
      </c>
    </row>
    <row r="2" spans="1:12" x14ac:dyDescent="0.3">
      <c r="A2" s="6">
        <v>1</v>
      </c>
      <c r="B2" s="6">
        <v>5012</v>
      </c>
      <c r="C2" s="6" t="s">
        <v>13</v>
      </c>
      <c r="D2" s="6" t="str">
        <f>RIGHT(C2,3)</f>
        <v>ack</v>
      </c>
      <c r="E2" s="6">
        <f>LEN(C2)</f>
        <v>8</v>
      </c>
      <c r="F2" s="6" t="str">
        <f>LEFT(C2,E2-4)</f>
        <v>s.a.</v>
      </c>
      <c r="G2" s="6" t="str">
        <f>CONCATENATE(F2," ",D2)</f>
        <v>s.a. ack</v>
      </c>
      <c r="H2" s="6" t="str">
        <f>UPPER(G2)</f>
        <v>S.A. ACK</v>
      </c>
      <c r="I2" s="6">
        <f>IFERROR(SEARCH(".",C2,4),"2")</f>
        <v>4</v>
      </c>
      <c r="J2" s="6" t="str">
        <f>(LEFT(C2,I2-1))</f>
        <v>s.a</v>
      </c>
      <c r="K2" s="6" t="str">
        <f>RIGHT(C2,E2-I2)</f>
        <v>jack</v>
      </c>
    </row>
    <row r="3" spans="1:12" x14ac:dyDescent="0.3">
      <c r="A3" s="6">
        <v>2</v>
      </c>
      <c r="B3" s="6">
        <v>5013</v>
      </c>
      <c r="C3" s="6" t="s">
        <v>14</v>
      </c>
      <c r="D3" s="6" t="str">
        <f>RIGHT(C3,2)</f>
        <v>me</v>
      </c>
      <c r="E3" s="6">
        <f>LEN(C3)</f>
        <v>6</v>
      </c>
      <c r="F3" s="6" t="str">
        <f>LEFT(C3,E3-2)</f>
        <v>k.ja</v>
      </c>
      <c r="G3" s="6" t="str">
        <f>CONCATENATE(F3," ",D3)</f>
        <v>k.ja me</v>
      </c>
      <c r="H3" s="6" t="str">
        <f>UPPER(G3)</f>
        <v>K.JA ME</v>
      </c>
      <c r="I3" s="6" t="str">
        <f t="shared" ref="I3:I14" si="0">IFERROR(SEARCH(".",C3,4),"2")</f>
        <v>2</v>
      </c>
      <c r="J3" s="6" t="str">
        <f t="shared" ref="J3:J14" si="1">(LEFT(C3,I3-1))</f>
        <v>k</v>
      </c>
      <c r="K3" s="6" t="str">
        <f t="shared" ref="K3:K14" si="2">RIGHT(C3,E3-I3)</f>
        <v>jame</v>
      </c>
    </row>
    <row r="4" spans="1:12" x14ac:dyDescent="0.3">
      <c r="A4" s="6">
        <v>3</v>
      </c>
      <c r="B4" s="6">
        <v>5014</v>
      </c>
      <c r="C4" s="6" t="s">
        <v>15</v>
      </c>
      <c r="D4" s="6" t="str">
        <f t="shared" ref="D4:D14" si="3">RIGHT(C4,3)</f>
        <v>ver</v>
      </c>
      <c r="E4" s="6">
        <f t="shared" ref="E4:E14" si="4">LEN(C4)</f>
        <v>10</v>
      </c>
      <c r="F4" s="6" t="str">
        <f t="shared" ref="F4:F14" si="5">LEFT(C4,E4-2)</f>
        <v>k.l.oliv</v>
      </c>
      <c r="G4" s="6" t="str">
        <f t="shared" ref="G4:G14" si="6">CONCATENATE(F4," ",D4)</f>
        <v>k.l.oliv ver</v>
      </c>
      <c r="H4" s="6" t="str">
        <f t="shared" ref="H4:H14" si="7">UPPER(G4)</f>
        <v>K.L.OLIV VER</v>
      </c>
      <c r="I4" s="6">
        <f t="shared" si="0"/>
        <v>4</v>
      </c>
      <c r="J4" s="6" t="str">
        <f t="shared" si="1"/>
        <v>k.l</v>
      </c>
      <c r="K4" s="6" t="str">
        <f t="shared" si="2"/>
        <v>oliver</v>
      </c>
    </row>
    <row r="5" spans="1:12" x14ac:dyDescent="0.3">
      <c r="A5" s="6">
        <v>4</v>
      </c>
      <c r="B5" s="6">
        <v>5015</v>
      </c>
      <c r="C5" s="6" t="s">
        <v>16</v>
      </c>
      <c r="D5" s="6" t="str">
        <f t="shared" si="3"/>
        <v>rry</v>
      </c>
      <c r="E5" s="6">
        <f t="shared" si="4"/>
        <v>7</v>
      </c>
      <c r="F5" s="6" t="str">
        <f t="shared" si="5"/>
        <v>d.bar</v>
      </c>
      <c r="G5" s="6" t="str">
        <f t="shared" si="6"/>
        <v>d.bar rry</v>
      </c>
      <c r="H5" s="6" t="str">
        <f t="shared" si="7"/>
        <v>D.BAR RRY</v>
      </c>
      <c r="I5" s="6" t="str">
        <f t="shared" si="0"/>
        <v>2</v>
      </c>
      <c r="J5" s="6" t="str">
        <f t="shared" si="1"/>
        <v>d</v>
      </c>
      <c r="K5" s="6" t="str">
        <f t="shared" si="2"/>
        <v>barry</v>
      </c>
    </row>
    <row r="6" spans="1:12" x14ac:dyDescent="0.3">
      <c r="A6" s="6">
        <v>5</v>
      </c>
      <c r="B6" s="6">
        <v>5016</v>
      </c>
      <c r="C6" s="6" t="s">
        <v>17</v>
      </c>
      <c r="D6" s="6" t="str">
        <f t="shared" si="3"/>
        <v>aim</v>
      </c>
      <c r="E6" s="6">
        <f t="shared" si="4"/>
        <v>11</v>
      </c>
      <c r="F6" s="6" t="str">
        <f t="shared" si="5"/>
        <v>L.m.willa</v>
      </c>
      <c r="G6" s="6" t="str">
        <f t="shared" si="6"/>
        <v>L.m.willa aim</v>
      </c>
      <c r="H6" s="6" t="str">
        <f t="shared" si="7"/>
        <v>L.M.WILLA AIM</v>
      </c>
      <c r="I6" s="6">
        <f t="shared" si="0"/>
        <v>4</v>
      </c>
      <c r="J6" s="6" t="str">
        <f t="shared" si="1"/>
        <v>L.m</v>
      </c>
      <c r="K6" s="6" t="str">
        <f t="shared" si="2"/>
        <v>willaim</v>
      </c>
    </row>
    <row r="7" spans="1:12" x14ac:dyDescent="0.3">
      <c r="A7" s="6">
        <v>6</v>
      </c>
      <c r="B7" s="6">
        <v>5017</v>
      </c>
      <c r="C7" s="6" t="s">
        <v>18</v>
      </c>
      <c r="D7" s="6" t="str">
        <f t="shared" si="3"/>
        <v>sam</v>
      </c>
      <c r="E7" s="6">
        <f t="shared" si="4"/>
        <v>7</v>
      </c>
      <c r="F7" s="6" t="str">
        <f t="shared" si="5"/>
        <v>A.l.s</v>
      </c>
      <c r="G7" s="6" t="str">
        <f t="shared" si="6"/>
        <v>A.l.s sam</v>
      </c>
      <c r="H7" s="6" t="str">
        <f t="shared" si="7"/>
        <v>A.L.S SAM</v>
      </c>
      <c r="I7" s="6">
        <f t="shared" si="0"/>
        <v>4</v>
      </c>
      <c r="J7" s="6" t="str">
        <f t="shared" si="1"/>
        <v>A.l</v>
      </c>
      <c r="K7" s="6" t="str">
        <f t="shared" si="2"/>
        <v>sam</v>
      </c>
    </row>
    <row r="8" spans="1:12" x14ac:dyDescent="0.3">
      <c r="A8" s="6">
        <v>7</v>
      </c>
      <c r="B8" s="6">
        <v>5018</v>
      </c>
      <c r="C8" s="6" t="s">
        <v>19</v>
      </c>
      <c r="D8" s="6" t="str">
        <f t="shared" si="3"/>
        <v>ssi</v>
      </c>
      <c r="E8" s="6">
        <f t="shared" si="4"/>
        <v>9</v>
      </c>
      <c r="F8" s="6" t="str">
        <f t="shared" si="5"/>
        <v>M.k.jes</v>
      </c>
      <c r="G8" s="6" t="str">
        <f t="shared" si="6"/>
        <v>M.k.jes ssi</v>
      </c>
      <c r="H8" s="6" t="str">
        <f t="shared" si="7"/>
        <v>M.K.JES SSI</v>
      </c>
      <c r="I8" s="6">
        <f t="shared" si="0"/>
        <v>4</v>
      </c>
      <c r="J8" s="6" t="str">
        <f t="shared" si="1"/>
        <v>M.k</v>
      </c>
      <c r="K8" s="6" t="str">
        <f t="shared" si="2"/>
        <v>jessi</v>
      </c>
    </row>
    <row r="9" spans="1:12" x14ac:dyDescent="0.3">
      <c r="A9" s="6">
        <v>8</v>
      </c>
      <c r="B9" s="6">
        <v>5019</v>
      </c>
      <c r="C9" s="6" t="s">
        <v>20</v>
      </c>
      <c r="D9" s="6" t="str">
        <f t="shared" si="3"/>
        <v>art</v>
      </c>
      <c r="E9" s="6">
        <f t="shared" si="4"/>
        <v>6</v>
      </c>
      <c r="F9" s="6" t="str">
        <f t="shared" si="5"/>
        <v>P.ba</v>
      </c>
      <c r="G9" s="6" t="str">
        <f t="shared" si="6"/>
        <v>P.ba art</v>
      </c>
      <c r="H9" s="6" t="str">
        <f t="shared" si="7"/>
        <v>P.BA ART</v>
      </c>
      <c r="I9" s="6" t="str">
        <f t="shared" si="0"/>
        <v>2</v>
      </c>
      <c r="J9" s="6" t="str">
        <f t="shared" si="1"/>
        <v>P</v>
      </c>
      <c r="K9" s="6" t="str">
        <f t="shared" si="2"/>
        <v>bart</v>
      </c>
    </row>
    <row r="10" spans="1:12" x14ac:dyDescent="0.3">
      <c r="A10" s="6">
        <v>9</v>
      </c>
      <c r="B10" s="6">
        <v>5020</v>
      </c>
      <c r="C10" s="6" t="s">
        <v>21</v>
      </c>
      <c r="D10" s="6" t="str">
        <f t="shared" si="3"/>
        <v>ane</v>
      </c>
      <c r="E10" s="6">
        <f t="shared" si="4"/>
        <v>6</v>
      </c>
      <c r="F10" s="6" t="str">
        <f t="shared" si="5"/>
        <v>O.ka</v>
      </c>
      <c r="G10" s="6" t="str">
        <f t="shared" si="6"/>
        <v>O.ka ane</v>
      </c>
      <c r="H10" s="6" t="str">
        <f t="shared" si="7"/>
        <v>O.KA ANE</v>
      </c>
      <c r="I10" s="6" t="str">
        <f t="shared" si="0"/>
        <v>2</v>
      </c>
      <c r="J10" s="6" t="str">
        <f t="shared" si="1"/>
        <v>O</v>
      </c>
      <c r="K10" s="6" t="str">
        <f t="shared" si="2"/>
        <v>kane</v>
      </c>
    </row>
    <row r="11" spans="1:12" x14ac:dyDescent="0.3">
      <c r="A11" s="6">
        <v>10</v>
      </c>
      <c r="B11" s="6">
        <v>5021</v>
      </c>
      <c r="C11" s="6" t="s">
        <v>22</v>
      </c>
      <c r="D11" s="6" t="str">
        <f t="shared" si="3"/>
        <v>ill</v>
      </c>
      <c r="E11" s="6">
        <f t="shared" si="4"/>
        <v>6</v>
      </c>
      <c r="F11" s="6" t="str">
        <f t="shared" si="5"/>
        <v>L.wi</v>
      </c>
      <c r="G11" s="6" t="str">
        <f t="shared" si="6"/>
        <v>L.wi ill</v>
      </c>
      <c r="H11" s="6" t="str">
        <f t="shared" si="7"/>
        <v>L.WI ILL</v>
      </c>
      <c r="I11" s="6" t="str">
        <f t="shared" si="0"/>
        <v>2</v>
      </c>
      <c r="J11" s="6" t="str">
        <f t="shared" si="1"/>
        <v>L</v>
      </c>
      <c r="K11" s="6" t="str">
        <f t="shared" si="2"/>
        <v>will</v>
      </c>
    </row>
    <row r="12" spans="1:12" x14ac:dyDescent="0.3">
      <c r="A12" s="6">
        <v>11</v>
      </c>
      <c r="B12" s="6">
        <v>5022</v>
      </c>
      <c r="C12" s="6" t="s">
        <v>23</v>
      </c>
      <c r="D12" s="6" t="str">
        <f t="shared" si="3"/>
        <v>nna</v>
      </c>
      <c r="E12" s="6">
        <f t="shared" si="4"/>
        <v>7</v>
      </c>
      <c r="F12" s="6" t="str">
        <f t="shared" si="5"/>
        <v>S.kan</v>
      </c>
      <c r="G12" s="6" t="str">
        <f t="shared" si="6"/>
        <v>S.kan nna</v>
      </c>
      <c r="H12" s="6" t="str">
        <f t="shared" si="7"/>
        <v>S.KAN NNA</v>
      </c>
      <c r="I12" s="6" t="str">
        <f t="shared" si="0"/>
        <v>2</v>
      </c>
      <c r="J12" s="6" t="str">
        <f t="shared" si="1"/>
        <v>S</v>
      </c>
      <c r="K12" s="6" t="str">
        <f t="shared" si="2"/>
        <v>kanna</v>
      </c>
    </row>
    <row r="13" spans="1:12" x14ac:dyDescent="0.3">
      <c r="A13" s="6">
        <v>12</v>
      </c>
      <c r="B13" s="6">
        <v>5023</v>
      </c>
      <c r="C13" s="6" t="s">
        <v>24</v>
      </c>
      <c r="D13" s="6" t="str">
        <f t="shared" si="3"/>
        <v>una</v>
      </c>
      <c r="E13" s="6">
        <f t="shared" si="4"/>
        <v>8</v>
      </c>
      <c r="F13" s="6" t="str">
        <f t="shared" si="5"/>
        <v>K.A.gu</v>
      </c>
      <c r="G13" s="6" t="str">
        <f t="shared" si="6"/>
        <v>K.A.gu una</v>
      </c>
      <c r="H13" s="6" t="str">
        <f t="shared" si="7"/>
        <v>K.A.GU UNA</v>
      </c>
      <c r="I13" s="6">
        <f t="shared" si="0"/>
        <v>4</v>
      </c>
      <c r="J13" s="6" t="str">
        <f t="shared" si="1"/>
        <v>K.A</v>
      </c>
      <c r="K13" s="6" t="str">
        <f t="shared" si="2"/>
        <v>guna</v>
      </c>
    </row>
    <row r="14" spans="1:12" x14ac:dyDescent="0.3">
      <c r="A14" s="6">
        <v>13</v>
      </c>
      <c r="B14" s="6">
        <v>5024</v>
      </c>
      <c r="C14" s="6" t="s">
        <v>25</v>
      </c>
      <c r="D14" s="6" t="str">
        <f t="shared" si="3"/>
        <v>hil</v>
      </c>
      <c r="E14" s="6">
        <f t="shared" si="4"/>
        <v>9</v>
      </c>
      <c r="F14" s="6" t="str">
        <f t="shared" si="5"/>
        <v>G.senth</v>
      </c>
      <c r="G14" s="6" t="str">
        <f t="shared" si="6"/>
        <v>G.senth hil</v>
      </c>
      <c r="H14" s="6" t="str">
        <f t="shared" si="7"/>
        <v>G.SENTH HIL</v>
      </c>
      <c r="I14" s="6" t="str">
        <f t="shared" si="0"/>
        <v>2</v>
      </c>
      <c r="J14" s="6" t="str">
        <f t="shared" si="1"/>
        <v>G</v>
      </c>
      <c r="K14" s="6" t="str">
        <f t="shared" si="2"/>
        <v>senthil</v>
      </c>
    </row>
    <row r="19" spans="8:9" x14ac:dyDescent="0.3">
      <c r="H19">
        <v>5012</v>
      </c>
    </row>
    <row r="20" spans="8:9" x14ac:dyDescent="0.3">
      <c r="H20">
        <v>5012</v>
      </c>
      <c r="I20" t="e" cm="1">
        <f t="array" ref="I20">_xlfn.XLOOKUP(H20,B2:C14,E2:E14)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9E8DA-AEEB-45B1-99D6-78423F26A165}">
  <dimension ref="A1:D3"/>
  <sheetViews>
    <sheetView workbookViewId="0">
      <selection activeCell="C4" sqref="C4"/>
    </sheetView>
  </sheetViews>
  <sheetFormatPr defaultRowHeight="14.4" x14ac:dyDescent="0.3"/>
  <cols>
    <col min="1" max="1" width="15.44140625" bestFit="1" customWidth="1"/>
    <col min="2" max="2" width="10.33203125" bestFit="1" customWidth="1"/>
    <col min="3" max="3" width="22.88671875" style="3" bestFit="1" customWidth="1"/>
    <col min="4" max="4" width="16.88671875" style="2" bestFit="1" customWidth="1"/>
  </cols>
  <sheetData>
    <row r="1" spans="1:4" x14ac:dyDescent="0.3">
      <c r="A1" t="s">
        <v>7</v>
      </c>
      <c r="B1" t="s">
        <v>8</v>
      </c>
      <c r="C1" s="3" t="s">
        <v>9</v>
      </c>
      <c r="D1" s="2" t="s">
        <v>10</v>
      </c>
    </row>
    <row r="2" spans="1:4" x14ac:dyDescent="0.3">
      <c r="A2">
        <v>10000000</v>
      </c>
      <c r="B2" s="1">
        <v>38695</v>
      </c>
      <c r="C2" s="3">
        <v>100054600000</v>
      </c>
      <c r="D2" s="2">
        <f>C2/A2</f>
        <v>10005.459999999999</v>
      </c>
    </row>
    <row r="3" spans="1:4" x14ac:dyDescent="0.3">
      <c r="A3">
        <v>7500000</v>
      </c>
      <c r="B3" s="1">
        <v>40522</v>
      </c>
      <c r="C3" s="3">
        <v>185668654600</v>
      </c>
      <c r="D3" s="2">
        <f>C3/A3</f>
        <v>24755.820613333333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52E1A-7C75-48A6-A1B9-9A7C4B05E82D}">
  <dimension ref="A1:C15"/>
  <sheetViews>
    <sheetView workbookViewId="0">
      <selection activeCell="C1" sqref="C1"/>
    </sheetView>
  </sheetViews>
  <sheetFormatPr defaultRowHeight="14.4" x14ac:dyDescent="0.3"/>
  <sheetData>
    <row r="1" spans="1:3" x14ac:dyDescent="0.3">
      <c r="A1">
        <v>1</v>
      </c>
      <c r="B1" s="4">
        <v>1</v>
      </c>
      <c r="C1">
        <v>1</v>
      </c>
    </row>
    <row r="2" spans="1:3" x14ac:dyDescent="0.3">
      <c r="A2">
        <v>2</v>
      </c>
      <c r="B2" s="4">
        <v>2</v>
      </c>
    </row>
    <row r="3" spans="1:3" x14ac:dyDescent="0.3">
      <c r="A3">
        <v>3</v>
      </c>
      <c r="B3" s="4">
        <v>3</v>
      </c>
    </row>
    <row r="4" spans="1:3" x14ac:dyDescent="0.3">
      <c r="A4">
        <v>4</v>
      </c>
      <c r="B4" s="4">
        <v>4</v>
      </c>
    </row>
    <row r="5" spans="1:3" x14ac:dyDescent="0.3">
      <c r="A5">
        <v>5</v>
      </c>
      <c r="B5" s="4">
        <v>5</v>
      </c>
    </row>
    <row r="6" spans="1:3" x14ac:dyDescent="0.3">
      <c r="A6">
        <v>6</v>
      </c>
      <c r="B6" s="4">
        <v>6</v>
      </c>
    </row>
    <row r="7" spans="1:3" x14ac:dyDescent="0.3">
      <c r="A7">
        <v>7</v>
      </c>
      <c r="B7" s="4">
        <v>7</v>
      </c>
    </row>
    <row r="8" spans="1:3" x14ac:dyDescent="0.3">
      <c r="A8">
        <v>8</v>
      </c>
      <c r="B8" s="4">
        <v>8</v>
      </c>
    </row>
    <row r="9" spans="1:3" x14ac:dyDescent="0.3">
      <c r="A9">
        <v>9</v>
      </c>
      <c r="B9" s="4">
        <v>9</v>
      </c>
    </row>
    <row r="10" spans="1:3" x14ac:dyDescent="0.3">
      <c r="A10">
        <v>10</v>
      </c>
      <c r="B10" s="4">
        <v>10</v>
      </c>
    </row>
    <row r="11" spans="1:3" x14ac:dyDescent="0.3">
      <c r="A11">
        <v>11</v>
      </c>
      <c r="B11" s="4">
        <v>11</v>
      </c>
    </row>
    <row r="12" spans="1:3" x14ac:dyDescent="0.3">
      <c r="A12">
        <v>12</v>
      </c>
      <c r="B12" s="4">
        <v>12</v>
      </c>
    </row>
    <row r="13" spans="1:3" x14ac:dyDescent="0.3">
      <c r="A13">
        <v>13</v>
      </c>
      <c r="B13" s="4">
        <v>13</v>
      </c>
    </row>
    <row r="14" spans="1:3" x14ac:dyDescent="0.3">
      <c r="A14">
        <v>14</v>
      </c>
      <c r="B14" s="4">
        <v>14</v>
      </c>
    </row>
    <row r="15" spans="1:3" x14ac:dyDescent="0.3">
      <c r="A15">
        <v>15</v>
      </c>
      <c r="B15" s="4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Parthiban sanjai</dc:creator>
  <cp:lastModifiedBy>Parthiban sanjai</cp:lastModifiedBy>
  <dcterms:created xsi:type="dcterms:W3CDTF">2025-12-09T08:51:51Z</dcterms:created>
  <dcterms:modified xsi:type="dcterms:W3CDTF">2025-12-18T09:40:56Z</dcterms:modified>
</cp:coreProperties>
</file>